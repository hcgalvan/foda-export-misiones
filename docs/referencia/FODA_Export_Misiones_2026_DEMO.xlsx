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userName="User" algorithmName="SHA-512" hashValue="AC/ntU6k1YfP2iefVhqSTl2T/lrpaxvMgusr2OB6HiSOdGV6bXon5soQOf9EkNn2nnV1/evyb6BiSoyjPyHo7w==" saltValue="Rbdiruz6jm5X4nnnHSgVwA==" spinCount="100000"/>
  <workbookPr/>
  <mc:AlternateContent xmlns:mc="http://schemas.openxmlformats.org/markup-compatibility/2006">
    <mc:Choice Requires="x15">
      <x15ac:absPath xmlns:x15ac="http://schemas.microsoft.com/office/spreadsheetml/2010/11/ac" url="D:\InvestigaCientifica\Educativa\Software\foda-export-misiones\"/>
    </mc:Choice>
  </mc:AlternateContent>
  <xr:revisionPtr revIDLastSave="0" documentId="8_{0D726838-0518-4CEF-9B9B-9E06EAC5897C}" xr6:coauthVersionLast="47" xr6:coauthVersionMax="47" xr10:uidLastSave="{00000000-0000-0000-0000-000000000000}"/>
  <bookViews>
    <workbookView xWindow="-120" yWindow="-120" windowWidth="20640" windowHeight="11040" tabRatio="500" xr2:uid="{00000000-000D-0000-FFFF-FFFF00000000}"/>
  </bookViews>
  <sheets>
    <sheet name="LEEME" sheetId="1" r:id="rId1"/>
    <sheet name="FormularioFODA" sheetId="2" r:id="rId2"/>
    <sheet name="GUIA_ENTREVISTA" sheetId="3" r:id="rId3"/>
    <sheet name="MATRIZ FODA" sheetId="4" r:id="rId4"/>
    <sheet name="PART2 FODA" sheetId="5" r:id="rId5"/>
    <sheet name="PART1 FODA" sheetId="6" r:id="rId6"/>
    <sheet name="ResumenFODA" sheetId="7" r:id="rId7"/>
    <sheet name="VIABILIDAD" sheetId="8" r:id="rId8"/>
    <sheet name="CalculoFoda-1" sheetId="9" r:id="rId9"/>
    <sheet name="VariablesFoda" sheetId="10" r:id="rId10"/>
    <sheet name="CalculosFoda" sheetId="11" r:id="rId11"/>
    <sheet name="Rango" sheetId="12" r:id="rId12"/>
    <sheet name="Hoja1" sheetId="13" r:id="rId13"/>
  </sheets>
  <definedNames>
    <definedName name="_xlnm._FilterDatabase" localSheetId="2" hidden="1">GUIA_ENTREVISTA!$B$4:$I$114</definedName>
    <definedName name="_xlnm.Print_Titles" localSheetId="1">FormularioFODA!$2:$3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149" i="11" l="1"/>
  <c r="N148" i="11"/>
  <c r="M148" i="11"/>
  <c r="L148" i="11"/>
  <c r="K148" i="11"/>
  <c r="O148" i="11" s="1"/>
  <c r="I148" i="11"/>
  <c r="H148" i="11"/>
  <c r="G148" i="11"/>
  <c r="F148" i="11"/>
  <c r="E148" i="11"/>
  <c r="J148" i="11" s="1"/>
  <c r="N147" i="11"/>
  <c r="M147" i="11"/>
  <c r="L147" i="11"/>
  <c r="K147" i="11"/>
  <c r="O147" i="11" s="1"/>
  <c r="I147" i="11"/>
  <c r="H147" i="11"/>
  <c r="G147" i="11"/>
  <c r="F147" i="11"/>
  <c r="E147" i="11"/>
  <c r="J147" i="11" s="1"/>
  <c r="N146" i="11"/>
  <c r="M146" i="11"/>
  <c r="L146" i="11"/>
  <c r="K146" i="11"/>
  <c r="O146" i="11" s="1"/>
  <c r="I146" i="11"/>
  <c r="H146" i="11"/>
  <c r="G146" i="11"/>
  <c r="F146" i="11"/>
  <c r="E146" i="11"/>
  <c r="J146" i="11" s="1"/>
  <c r="N145" i="11"/>
  <c r="N149" i="11" s="1"/>
  <c r="M145" i="11"/>
  <c r="M149" i="11" s="1"/>
  <c r="L145" i="11"/>
  <c r="L149" i="11" s="1"/>
  <c r="K145" i="11"/>
  <c r="I145" i="11"/>
  <c r="I149" i="11" s="1"/>
  <c r="H145" i="11"/>
  <c r="H149" i="11" s="1"/>
  <c r="G145" i="11"/>
  <c r="G149" i="11" s="1"/>
  <c r="F145" i="11"/>
  <c r="F149" i="11" s="1"/>
  <c r="E145" i="11"/>
  <c r="B145" i="11"/>
  <c r="S143" i="11"/>
  <c r="N142" i="11"/>
  <c r="M142" i="11"/>
  <c r="L142" i="11"/>
  <c r="K142" i="11"/>
  <c r="O142" i="11" s="1"/>
  <c r="I142" i="11"/>
  <c r="H142" i="11"/>
  <c r="G142" i="11"/>
  <c r="F142" i="11"/>
  <c r="E142" i="11"/>
  <c r="J142" i="11" s="1"/>
  <c r="N141" i="11"/>
  <c r="N143" i="11" s="1"/>
  <c r="M141" i="11"/>
  <c r="M143" i="11" s="1"/>
  <c r="L141" i="11"/>
  <c r="L143" i="11" s="1"/>
  <c r="K141" i="11"/>
  <c r="I141" i="11"/>
  <c r="I143" i="11" s="1"/>
  <c r="H141" i="11"/>
  <c r="H143" i="11" s="1"/>
  <c r="G141" i="11"/>
  <c r="G143" i="11" s="1"/>
  <c r="F141" i="11"/>
  <c r="F143" i="11" s="1"/>
  <c r="E141" i="11"/>
  <c r="B141" i="11"/>
  <c r="S139" i="11"/>
  <c r="N138" i="11"/>
  <c r="M138" i="11"/>
  <c r="L138" i="11"/>
  <c r="K138" i="11"/>
  <c r="O138" i="11" s="1"/>
  <c r="I138" i="11"/>
  <c r="H138" i="11"/>
  <c r="G138" i="11"/>
  <c r="F138" i="11"/>
  <c r="E138" i="11"/>
  <c r="J138" i="11" s="1"/>
  <c r="N137" i="11"/>
  <c r="M137" i="11"/>
  <c r="L137" i="11"/>
  <c r="K137" i="11"/>
  <c r="O137" i="11" s="1"/>
  <c r="I137" i="11"/>
  <c r="H137" i="11"/>
  <c r="G137" i="11"/>
  <c r="F137" i="11"/>
  <c r="E137" i="11"/>
  <c r="J137" i="11" s="1"/>
  <c r="N136" i="11"/>
  <c r="M136" i="11"/>
  <c r="L136" i="11"/>
  <c r="K136" i="11"/>
  <c r="O136" i="11" s="1"/>
  <c r="I136" i="11"/>
  <c r="H136" i="11"/>
  <c r="G136" i="11"/>
  <c r="F136" i="11"/>
  <c r="E136" i="11"/>
  <c r="J136" i="11" s="1"/>
  <c r="N135" i="11"/>
  <c r="N139" i="11" s="1"/>
  <c r="M135" i="11"/>
  <c r="M139" i="11" s="1"/>
  <c r="L135" i="11"/>
  <c r="L139" i="11" s="1"/>
  <c r="K135" i="11"/>
  <c r="I135" i="11"/>
  <c r="I139" i="11" s="1"/>
  <c r="H135" i="11"/>
  <c r="H139" i="11" s="1"/>
  <c r="G135" i="11"/>
  <c r="G139" i="11" s="1"/>
  <c r="F135" i="11"/>
  <c r="F139" i="11" s="1"/>
  <c r="E135" i="11"/>
  <c r="B135" i="11"/>
  <c r="S133" i="11"/>
  <c r="N132" i="11"/>
  <c r="M132" i="11"/>
  <c r="L132" i="11"/>
  <c r="K132" i="11"/>
  <c r="O132" i="11" s="1"/>
  <c r="I132" i="11"/>
  <c r="H132" i="11"/>
  <c r="G132" i="11"/>
  <c r="F132" i="11"/>
  <c r="E132" i="11"/>
  <c r="J132" i="11" s="1"/>
  <c r="N131" i="11"/>
  <c r="M131" i="11"/>
  <c r="L131" i="11"/>
  <c r="K131" i="11"/>
  <c r="O131" i="11" s="1"/>
  <c r="I131" i="11"/>
  <c r="H131" i="11"/>
  <c r="G131" i="11"/>
  <c r="F131" i="11"/>
  <c r="E131" i="11"/>
  <c r="J131" i="11" s="1"/>
  <c r="N130" i="11"/>
  <c r="M130" i="11"/>
  <c r="L130" i="11"/>
  <c r="K130" i="11"/>
  <c r="O130" i="11" s="1"/>
  <c r="I130" i="11"/>
  <c r="H130" i="11"/>
  <c r="G130" i="11"/>
  <c r="F130" i="11"/>
  <c r="E130" i="11"/>
  <c r="J130" i="11" s="1"/>
  <c r="N129" i="11"/>
  <c r="M129" i="11"/>
  <c r="L129" i="11"/>
  <c r="K129" i="11"/>
  <c r="O129" i="11" s="1"/>
  <c r="I129" i="11"/>
  <c r="H129" i="11"/>
  <c r="G129" i="11"/>
  <c r="F129" i="11"/>
  <c r="E129" i="11"/>
  <c r="J129" i="11" s="1"/>
  <c r="N128" i="11"/>
  <c r="M128" i="11"/>
  <c r="L128" i="11"/>
  <c r="K128" i="11"/>
  <c r="O128" i="11" s="1"/>
  <c r="I128" i="11"/>
  <c r="H128" i="11"/>
  <c r="G128" i="11"/>
  <c r="F128" i="11"/>
  <c r="E128" i="11"/>
  <c r="J128" i="11" s="1"/>
  <c r="N127" i="11"/>
  <c r="N133" i="11" s="1"/>
  <c r="M127" i="11"/>
  <c r="M133" i="11" s="1"/>
  <c r="L127" i="11"/>
  <c r="L133" i="11" s="1"/>
  <c r="K127" i="11"/>
  <c r="I127" i="11"/>
  <c r="I133" i="11" s="1"/>
  <c r="H127" i="11"/>
  <c r="H133" i="11" s="1"/>
  <c r="G127" i="11"/>
  <c r="G133" i="11" s="1"/>
  <c r="F127" i="11"/>
  <c r="F133" i="11" s="1"/>
  <c r="E127" i="11"/>
  <c r="B127" i="11"/>
  <c r="S125" i="11"/>
  <c r="N124" i="11"/>
  <c r="M124" i="11"/>
  <c r="L124" i="11"/>
  <c r="K124" i="11"/>
  <c r="O124" i="11" s="1"/>
  <c r="I124" i="11"/>
  <c r="H124" i="11"/>
  <c r="G124" i="11"/>
  <c r="F124" i="11"/>
  <c r="E124" i="11"/>
  <c r="J124" i="11" s="1"/>
  <c r="N123" i="11"/>
  <c r="M123" i="11"/>
  <c r="L123" i="11"/>
  <c r="K123" i="11"/>
  <c r="O123" i="11" s="1"/>
  <c r="I123" i="11"/>
  <c r="H123" i="11"/>
  <c r="G123" i="11"/>
  <c r="F123" i="11"/>
  <c r="E123" i="11"/>
  <c r="J123" i="11" s="1"/>
  <c r="N122" i="11"/>
  <c r="M122" i="11"/>
  <c r="L122" i="11"/>
  <c r="K122" i="11"/>
  <c r="O122" i="11" s="1"/>
  <c r="I122" i="11"/>
  <c r="H122" i="11"/>
  <c r="G122" i="11"/>
  <c r="F122" i="11"/>
  <c r="E122" i="11"/>
  <c r="J122" i="11" s="1"/>
  <c r="N121" i="11"/>
  <c r="M121" i="11"/>
  <c r="L121" i="11"/>
  <c r="K121" i="11"/>
  <c r="O121" i="11" s="1"/>
  <c r="I121" i="11"/>
  <c r="H121" i="11"/>
  <c r="G121" i="11"/>
  <c r="F121" i="11"/>
  <c r="E121" i="11"/>
  <c r="J121" i="11" s="1"/>
  <c r="N120" i="11"/>
  <c r="M120" i="11"/>
  <c r="L120" i="11"/>
  <c r="K120" i="11"/>
  <c r="O120" i="11" s="1"/>
  <c r="I120" i="11"/>
  <c r="H120" i="11"/>
  <c r="G120" i="11"/>
  <c r="F120" i="11"/>
  <c r="E120" i="11"/>
  <c r="J120" i="11" s="1"/>
  <c r="N119" i="11"/>
  <c r="M119" i="11"/>
  <c r="L119" i="11"/>
  <c r="K119" i="11"/>
  <c r="O119" i="11" s="1"/>
  <c r="I119" i="11"/>
  <c r="H119" i="11"/>
  <c r="G119" i="11"/>
  <c r="F119" i="11"/>
  <c r="E119" i="11"/>
  <c r="J119" i="11" s="1"/>
  <c r="N118" i="11"/>
  <c r="N125" i="11" s="1"/>
  <c r="M118" i="11"/>
  <c r="M125" i="11" s="1"/>
  <c r="L118" i="11"/>
  <c r="L125" i="11" s="1"/>
  <c r="K118" i="11"/>
  <c r="I118" i="11"/>
  <c r="I125" i="11" s="1"/>
  <c r="H118" i="11"/>
  <c r="H125" i="11" s="1"/>
  <c r="G118" i="11"/>
  <c r="G125" i="11" s="1"/>
  <c r="F118" i="11"/>
  <c r="F125" i="11" s="1"/>
  <c r="E118" i="11"/>
  <c r="B118" i="11"/>
  <c r="S116" i="11"/>
  <c r="N115" i="11"/>
  <c r="M115" i="11"/>
  <c r="L115" i="11"/>
  <c r="K115" i="11"/>
  <c r="O115" i="11" s="1"/>
  <c r="I115" i="11"/>
  <c r="H115" i="11"/>
  <c r="G115" i="11"/>
  <c r="F115" i="11"/>
  <c r="E115" i="11"/>
  <c r="J115" i="11" s="1"/>
  <c r="N114" i="11"/>
  <c r="M114" i="11"/>
  <c r="L114" i="11"/>
  <c r="K114" i="11"/>
  <c r="O114" i="11" s="1"/>
  <c r="I114" i="11"/>
  <c r="H114" i="11"/>
  <c r="G114" i="11"/>
  <c r="F114" i="11"/>
  <c r="E114" i="11"/>
  <c r="J114" i="11" s="1"/>
  <c r="N113" i="11"/>
  <c r="M113" i="11"/>
  <c r="L113" i="11"/>
  <c r="K113" i="11"/>
  <c r="O113" i="11" s="1"/>
  <c r="I113" i="11"/>
  <c r="H113" i="11"/>
  <c r="G113" i="11"/>
  <c r="F113" i="11"/>
  <c r="E113" i="11"/>
  <c r="J113" i="11" s="1"/>
  <c r="N112" i="11"/>
  <c r="N116" i="11" s="1"/>
  <c r="M112" i="11"/>
  <c r="M116" i="11" s="1"/>
  <c r="L112" i="11"/>
  <c r="L116" i="11" s="1"/>
  <c r="K112" i="11"/>
  <c r="I112" i="11"/>
  <c r="I116" i="11" s="1"/>
  <c r="H112" i="11"/>
  <c r="H116" i="11" s="1"/>
  <c r="G112" i="11"/>
  <c r="G116" i="11" s="1"/>
  <c r="F112" i="11"/>
  <c r="F116" i="11" s="1"/>
  <c r="E112" i="11"/>
  <c r="B112" i="11"/>
  <c r="S110" i="11"/>
  <c r="N109" i="11"/>
  <c r="M109" i="11"/>
  <c r="L109" i="11"/>
  <c r="K109" i="11"/>
  <c r="O109" i="11" s="1"/>
  <c r="I109" i="11"/>
  <c r="H109" i="11"/>
  <c r="G109" i="11"/>
  <c r="F109" i="11"/>
  <c r="E109" i="11"/>
  <c r="J109" i="11" s="1"/>
  <c r="N108" i="11"/>
  <c r="M108" i="11"/>
  <c r="L108" i="11"/>
  <c r="K108" i="11"/>
  <c r="O108" i="11" s="1"/>
  <c r="I108" i="11"/>
  <c r="H108" i="11"/>
  <c r="G108" i="11"/>
  <c r="F108" i="11"/>
  <c r="E108" i="11"/>
  <c r="J108" i="11" s="1"/>
  <c r="N107" i="11"/>
  <c r="M107" i="11"/>
  <c r="L107" i="11"/>
  <c r="K107" i="11"/>
  <c r="O107" i="11" s="1"/>
  <c r="I107" i="11"/>
  <c r="H107" i="11"/>
  <c r="G107" i="11"/>
  <c r="F107" i="11"/>
  <c r="E107" i="11"/>
  <c r="J107" i="11" s="1"/>
  <c r="N106" i="11"/>
  <c r="M106" i="11"/>
  <c r="L106" i="11"/>
  <c r="K106" i="11"/>
  <c r="O106" i="11" s="1"/>
  <c r="I106" i="11"/>
  <c r="H106" i="11"/>
  <c r="G106" i="11"/>
  <c r="F106" i="11"/>
  <c r="E106" i="11"/>
  <c r="J106" i="11" s="1"/>
  <c r="N105" i="11"/>
  <c r="N110" i="11" s="1"/>
  <c r="M105" i="11"/>
  <c r="M110" i="11" s="1"/>
  <c r="L105" i="11"/>
  <c r="L110" i="11" s="1"/>
  <c r="K105" i="11"/>
  <c r="I105" i="11"/>
  <c r="I110" i="11" s="1"/>
  <c r="H105" i="11"/>
  <c r="H110" i="11" s="1"/>
  <c r="G105" i="11"/>
  <c r="G110" i="11" s="1"/>
  <c r="F105" i="11"/>
  <c r="F110" i="11" s="1"/>
  <c r="E105" i="11"/>
  <c r="B105" i="11"/>
  <c r="S103" i="11"/>
  <c r="N102" i="11"/>
  <c r="M102" i="11"/>
  <c r="L102" i="11"/>
  <c r="K102" i="11"/>
  <c r="O102" i="11" s="1"/>
  <c r="I102" i="11"/>
  <c r="H102" i="11"/>
  <c r="G102" i="11"/>
  <c r="F102" i="11"/>
  <c r="E102" i="11"/>
  <c r="J102" i="11" s="1"/>
  <c r="N101" i="11"/>
  <c r="M101" i="11"/>
  <c r="L101" i="11"/>
  <c r="K101" i="11"/>
  <c r="O101" i="11" s="1"/>
  <c r="I101" i="11"/>
  <c r="H101" i="11"/>
  <c r="G101" i="11"/>
  <c r="F101" i="11"/>
  <c r="E101" i="11"/>
  <c r="J101" i="11" s="1"/>
  <c r="N100" i="11"/>
  <c r="M100" i="11"/>
  <c r="L100" i="11"/>
  <c r="K100" i="11"/>
  <c r="O100" i="11" s="1"/>
  <c r="I100" i="11"/>
  <c r="H100" i="11"/>
  <c r="G100" i="11"/>
  <c r="F100" i="11"/>
  <c r="E100" i="11"/>
  <c r="J100" i="11" s="1"/>
  <c r="N99" i="11"/>
  <c r="M99" i="11"/>
  <c r="L99" i="11"/>
  <c r="K99" i="11"/>
  <c r="O99" i="11" s="1"/>
  <c r="I99" i="11"/>
  <c r="H99" i="11"/>
  <c r="G99" i="11"/>
  <c r="F99" i="11"/>
  <c r="E99" i="11"/>
  <c r="J99" i="11" s="1"/>
  <c r="N98" i="11"/>
  <c r="M98" i="11"/>
  <c r="L98" i="11"/>
  <c r="K98" i="11"/>
  <c r="O98" i="11" s="1"/>
  <c r="I98" i="11"/>
  <c r="H98" i="11"/>
  <c r="G98" i="11"/>
  <c r="F98" i="11"/>
  <c r="E98" i="11"/>
  <c r="J98" i="11" s="1"/>
  <c r="N97" i="11"/>
  <c r="M97" i="11"/>
  <c r="L97" i="11"/>
  <c r="K97" i="11"/>
  <c r="O97" i="11" s="1"/>
  <c r="I97" i="11"/>
  <c r="H97" i="11"/>
  <c r="G97" i="11"/>
  <c r="F97" i="11"/>
  <c r="E97" i="11"/>
  <c r="J97" i="11" s="1"/>
  <c r="N96" i="11"/>
  <c r="M96" i="11"/>
  <c r="L96" i="11"/>
  <c r="K96" i="11"/>
  <c r="O96" i="11" s="1"/>
  <c r="I96" i="11"/>
  <c r="H96" i="11"/>
  <c r="G96" i="11"/>
  <c r="F96" i="11"/>
  <c r="E96" i="11"/>
  <c r="J96" i="11" s="1"/>
  <c r="N95" i="11"/>
  <c r="N103" i="11" s="1"/>
  <c r="M95" i="11"/>
  <c r="M103" i="11" s="1"/>
  <c r="L95" i="11"/>
  <c r="L103" i="11" s="1"/>
  <c r="K95" i="11"/>
  <c r="I95" i="11"/>
  <c r="I103" i="11" s="1"/>
  <c r="H95" i="11"/>
  <c r="H103" i="11" s="1"/>
  <c r="G95" i="11"/>
  <c r="G103" i="11" s="1"/>
  <c r="F95" i="11"/>
  <c r="F103" i="11" s="1"/>
  <c r="E95" i="11"/>
  <c r="B95" i="11"/>
  <c r="S93" i="11"/>
  <c r="N92" i="11"/>
  <c r="M92" i="11"/>
  <c r="L92" i="11"/>
  <c r="K92" i="11"/>
  <c r="O92" i="11" s="1"/>
  <c r="I92" i="11"/>
  <c r="H92" i="11"/>
  <c r="G92" i="11"/>
  <c r="F92" i="11"/>
  <c r="E92" i="11"/>
  <c r="J92" i="11" s="1"/>
  <c r="N91" i="11"/>
  <c r="M91" i="11"/>
  <c r="L91" i="11"/>
  <c r="K91" i="11"/>
  <c r="O91" i="11" s="1"/>
  <c r="I91" i="11"/>
  <c r="H91" i="11"/>
  <c r="G91" i="11"/>
  <c r="F91" i="11"/>
  <c r="E91" i="11"/>
  <c r="J91" i="11" s="1"/>
  <c r="N90" i="11"/>
  <c r="M90" i="11"/>
  <c r="L90" i="11"/>
  <c r="K90" i="11"/>
  <c r="O90" i="11" s="1"/>
  <c r="I90" i="11"/>
  <c r="H90" i="11"/>
  <c r="G90" i="11"/>
  <c r="F90" i="11"/>
  <c r="E90" i="11"/>
  <c r="J90" i="11" s="1"/>
  <c r="N89" i="11"/>
  <c r="M89" i="11"/>
  <c r="L89" i="11"/>
  <c r="K89" i="11"/>
  <c r="O89" i="11" s="1"/>
  <c r="I89" i="11"/>
  <c r="H89" i="11"/>
  <c r="G89" i="11"/>
  <c r="F89" i="11"/>
  <c r="E89" i="11"/>
  <c r="J89" i="11" s="1"/>
  <c r="N88" i="11"/>
  <c r="M88" i="11"/>
  <c r="L88" i="11"/>
  <c r="K88" i="11"/>
  <c r="O88" i="11" s="1"/>
  <c r="I88" i="11"/>
  <c r="H88" i="11"/>
  <c r="G88" i="11"/>
  <c r="F88" i="11"/>
  <c r="E88" i="11"/>
  <c r="J88" i="11" s="1"/>
  <c r="N87" i="11"/>
  <c r="N93" i="11" s="1"/>
  <c r="M87" i="11"/>
  <c r="M93" i="11" s="1"/>
  <c r="L87" i="11"/>
  <c r="L93" i="11" s="1"/>
  <c r="K87" i="11"/>
  <c r="I87" i="11"/>
  <c r="I93" i="11" s="1"/>
  <c r="H87" i="11"/>
  <c r="H93" i="11" s="1"/>
  <c r="G87" i="11"/>
  <c r="G93" i="11" s="1"/>
  <c r="F87" i="11"/>
  <c r="F93" i="11" s="1"/>
  <c r="E87" i="11"/>
  <c r="B87" i="11"/>
  <c r="S85" i="11"/>
  <c r="N84" i="11"/>
  <c r="M84" i="11"/>
  <c r="L84" i="11"/>
  <c r="K84" i="11"/>
  <c r="O84" i="11" s="1"/>
  <c r="I84" i="11"/>
  <c r="H84" i="11"/>
  <c r="G84" i="11"/>
  <c r="F84" i="11"/>
  <c r="E84" i="11"/>
  <c r="J84" i="11" s="1"/>
  <c r="N83" i="11"/>
  <c r="M83" i="11"/>
  <c r="L83" i="11"/>
  <c r="K83" i="11"/>
  <c r="O83" i="11" s="1"/>
  <c r="I83" i="11"/>
  <c r="H83" i="11"/>
  <c r="G83" i="11"/>
  <c r="F83" i="11"/>
  <c r="E83" i="11"/>
  <c r="J83" i="11" s="1"/>
  <c r="N82" i="11"/>
  <c r="M82" i="11"/>
  <c r="L82" i="11"/>
  <c r="K82" i="11"/>
  <c r="O82" i="11" s="1"/>
  <c r="I82" i="11"/>
  <c r="H82" i="11"/>
  <c r="G82" i="11"/>
  <c r="F82" i="11"/>
  <c r="E82" i="11"/>
  <c r="J82" i="11" s="1"/>
  <c r="N81" i="11"/>
  <c r="M81" i="11"/>
  <c r="L81" i="11"/>
  <c r="K81" i="11"/>
  <c r="O81" i="11" s="1"/>
  <c r="I81" i="11"/>
  <c r="H81" i="11"/>
  <c r="G81" i="11"/>
  <c r="F81" i="11"/>
  <c r="E81" i="11"/>
  <c r="J81" i="11" s="1"/>
  <c r="N80" i="11"/>
  <c r="M80" i="11"/>
  <c r="L80" i="11"/>
  <c r="K80" i="11"/>
  <c r="O80" i="11" s="1"/>
  <c r="I80" i="11"/>
  <c r="H80" i="11"/>
  <c r="G80" i="11"/>
  <c r="F80" i="11"/>
  <c r="E80" i="11"/>
  <c r="J80" i="11" s="1"/>
  <c r="N79" i="11"/>
  <c r="M79" i="11"/>
  <c r="L79" i="11"/>
  <c r="K79" i="11"/>
  <c r="O79" i="11" s="1"/>
  <c r="I79" i="11"/>
  <c r="H79" i="11"/>
  <c r="G79" i="11"/>
  <c r="F79" i="11"/>
  <c r="E79" i="11"/>
  <c r="J79" i="11" s="1"/>
  <c r="N78" i="11"/>
  <c r="N85" i="11" s="1"/>
  <c r="M78" i="11"/>
  <c r="M85" i="11" s="1"/>
  <c r="L78" i="11"/>
  <c r="L85" i="11" s="1"/>
  <c r="K78" i="11"/>
  <c r="I78" i="11"/>
  <c r="I85" i="11" s="1"/>
  <c r="H78" i="11"/>
  <c r="H85" i="11" s="1"/>
  <c r="G78" i="11"/>
  <c r="G85" i="11" s="1"/>
  <c r="F78" i="11"/>
  <c r="F85" i="11" s="1"/>
  <c r="E78" i="11"/>
  <c r="B78" i="11"/>
  <c r="S76" i="11"/>
  <c r="N75" i="11"/>
  <c r="M75" i="11"/>
  <c r="L75" i="11"/>
  <c r="K75" i="11"/>
  <c r="O75" i="11" s="1"/>
  <c r="I75" i="11"/>
  <c r="H75" i="11"/>
  <c r="G75" i="11"/>
  <c r="F75" i="11"/>
  <c r="E75" i="11"/>
  <c r="J75" i="11" s="1"/>
  <c r="N74" i="11"/>
  <c r="M74" i="11"/>
  <c r="L74" i="11"/>
  <c r="K74" i="11"/>
  <c r="O74" i="11" s="1"/>
  <c r="I74" i="11"/>
  <c r="H74" i="11"/>
  <c r="G74" i="11"/>
  <c r="F74" i="11"/>
  <c r="E74" i="11"/>
  <c r="J74" i="11" s="1"/>
  <c r="N73" i="11"/>
  <c r="M73" i="11"/>
  <c r="L73" i="11"/>
  <c r="K73" i="11"/>
  <c r="O73" i="11" s="1"/>
  <c r="I73" i="11"/>
  <c r="H73" i="11"/>
  <c r="G73" i="11"/>
  <c r="F73" i="11"/>
  <c r="E73" i="11"/>
  <c r="J73" i="11" s="1"/>
  <c r="N72" i="11"/>
  <c r="M72" i="11"/>
  <c r="L72" i="11"/>
  <c r="K72" i="11"/>
  <c r="O72" i="11" s="1"/>
  <c r="I72" i="11"/>
  <c r="H72" i="11"/>
  <c r="G72" i="11"/>
  <c r="F72" i="11"/>
  <c r="E72" i="11"/>
  <c r="J72" i="11" s="1"/>
  <c r="N71" i="11"/>
  <c r="M71" i="11"/>
  <c r="L71" i="11"/>
  <c r="K71" i="11"/>
  <c r="O71" i="11" s="1"/>
  <c r="I71" i="11"/>
  <c r="H71" i="11"/>
  <c r="G71" i="11"/>
  <c r="F71" i="11"/>
  <c r="E71" i="11"/>
  <c r="J71" i="11" s="1"/>
  <c r="N70" i="11"/>
  <c r="N76" i="11" s="1"/>
  <c r="M70" i="11"/>
  <c r="M76" i="11" s="1"/>
  <c r="L70" i="11"/>
  <c r="L76" i="11" s="1"/>
  <c r="K70" i="11"/>
  <c r="I70" i="11"/>
  <c r="I76" i="11" s="1"/>
  <c r="H70" i="11"/>
  <c r="H76" i="11" s="1"/>
  <c r="G70" i="11"/>
  <c r="G76" i="11" s="1"/>
  <c r="F70" i="11"/>
  <c r="F76" i="11" s="1"/>
  <c r="E70" i="11"/>
  <c r="B70" i="11"/>
  <c r="S68" i="11"/>
  <c r="N67" i="11"/>
  <c r="M67" i="11"/>
  <c r="L67" i="11"/>
  <c r="K67" i="11"/>
  <c r="O67" i="11" s="1"/>
  <c r="I67" i="11"/>
  <c r="H67" i="11"/>
  <c r="G67" i="11"/>
  <c r="F67" i="11"/>
  <c r="E67" i="11"/>
  <c r="J67" i="11" s="1"/>
  <c r="N66" i="11"/>
  <c r="M66" i="11"/>
  <c r="L66" i="11"/>
  <c r="K66" i="11"/>
  <c r="O66" i="11" s="1"/>
  <c r="I66" i="11"/>
  <c r="H66" i="11"/>
  <c r="G66" i="11"/>
  <c r="F66" i="11"/>
  <c r="E66" i="11"/>
  <c r="J66" i="11" s="1"/>
  <c r="N65" i="11"/>
  <c r="M65" i="11"/>
  <c r="L65" i="11"/>
  <c r="K65" i="11"/>
  <c r="O65" i="11" s="1"/>
  <c r="I65" i="11"/>
  <c r="H65" i="11"/>
  <c r="G65" i="11"/>
  <c r="F65" i="11"/>
  <c r="E65" i="11"/>
  <c r="J65" i="11" s="1"/>
  <c r="N64" i="11"/>
  <c r="M64" i="11"/>
  <c r="L64" i="11"/>
  <c r="K64" i="11"/>
  <c r="O64" i="11" s="1"/>
  <c r="I64" i="11"/>
  <c r="H64" i="11"/>
  <c r="G64" i="11"/>
  <c r="F64" i="11"/>
  <c r="E64" i="11"/>
  <c r="J64" i="11" s="1"/>
  <c r="N63" i="11"/>
  <c r="M63" i="11"/>
  <c r="L63" i="11"/>
  <c r="K63" i="11"/>
  <c r="O63" i="11" s="1"/>
  <c r="I63" i="11"/>
  <c r="H63" i="11"/>
  <c r="G63" i="11"/>
  <c r="F63" i="11"/>
  <c r="E63" i="11"/>
  <c r="J63" i="11" s="1"/>
  <c r="N62" i="11"/>
  <c r="N68" i="11" s="1"/>
  <c r="M62" i="11"/>
  <c r="M68" i="11" s="1"/>
  <c r="L62" i="11"/>
  <c r="L68" i="11" s="1"/>
  <c r="K62" i="11"/>
  <c r="I62" i="11"/>
  <c r="I68" i="11" s="1"/>
  <c r="H62" i="11"/>
  <c r="H68" i="11" s="1"/>
  <c r="G62" i="11"/>
  <c r="G68" i="11" s="1"/>
  <c r="F62" i="11"/>
  <c r="F68" i="11" s="1"/>
  <c r="E62" i="11"/>
  <c r="B62" i="11"/>
  <c r="S60" i="11"/>
  <c r="N59" i="11"/>
  <c r="M59" i="11"/>
  <c r="L59" i="11"/>
  <c r="K59" i="11"/>
  <c r="O59" i="11" s="1"/>
  <c r="I59" i="11"/>
  <c r="H59" i="11"/>
  <c r="G59" i="11"/>
  <c r="F59" i="11"/>
  <c r="E59" i="11"/>
  <c r="J59" i="11" s="1"/>
  <c r="N58" i="11"/>
  <c r="M58" i="11"/>
  <c r="L58" i="11"/>
  <c r="K58" i="11"/>
  <c r="O58" i="11" s="1"/>
  <c r="I58" i="11"/>
  <c r="H58" i="11"/>
  <c r="G58" i="11"/>
  <c r="F58" i="11"/>
  <c r="E58" i="11"/>
  <c r="J58" i="11" s="1"/>
  <c r="N57" i="11"/>
  <c r="M57" i="11"/>
  <c r="L57" i="11"/>
  <c r="K57" i="11"/>
  <c r="O57" i="11" s="1"/>
  <c r="I57" i="11"/>
  <c r="H57" i="11"/>
  <c r="G57" i="11"/>
  <c r="F57" i="11"/>
  <c r="E57" i="11"/>
  <c r="J57" i="11" s="1"/>
  <c r="N56" i="11"/>
  <c r="M56" i="11"/>
  <c r="L56" i="11"/>
  <c r="K56" i="11"/>
  <c r="O56" i="11" s="1"/>
  <c r="I56" i="11"/>
  <c r="H56" i="11"/>
  <c r="G56" i="11"/>
  <c r="F56" i="11"/>
  <c r="E56" i="11"/>
  <c r="J56" i="11" s="1"/>
  <c r="N55" i="11"/>
  <c r="M55" i="11"/>
  <c r="L55" i="11"/>
  <c r="K55" i="11"/>
  <c r="O55" i="11" s="1"/>
  <c r="I55" i="11"/>
  <c r="H55" i="11"/>
  <c r="G55" i="11"/>
  <c r="F55" i="11"/>
  <c r="E55" i="11"/>
  <c r="J55" i="11" s="1"/>
  <c r="N54" i="11"/>
  <c r="M54" i="11"/>
  <c r="L54" i="11"/>
  <c r="K54" i="11"/>
  <c r="O54" i="11" s="1"/>
  <c r="I54" i="11"/>
  <c r="H54" i="11"/>
  <c r="G54" i="11"/>
  <c r="F54" i="11"/>
  <c r="E54" i="11"/>
  <c r="J54" i="11" s="1"/>
  <c r="N53" i="11"/>
  <c r="M53" i="11"/>
  <c r="L53" i="11"/>
  <c r="K53" i="11"/>
  <c r="O53" i="11" s="1"/>
  <c r="I53" i="11"/>
  <c r="H53" i="11"/>
  <c r="G53" i="11"/>
  <c r="F53" i="11"/>
  <c r="E53" i="11"/>
  <c r="J53" i="11" s="1"/>
  <c r="N52" i="11"/>
  <c r="M52" i="11"/>
  <c r="L52" i="11"/>
  <c r="K52" i="11"/>
  <c r="O52" i="11" s="1"/>
  <c r="I52" i="11"/>
  <c r="H52" i="11"/>
  <c r="G52" i="11"/>
  <c r="F52" i="11"/>
  <c r="E52" i="11"/>
  <c r="J52" i="11" s="1"/>
  <c r="N51" i="11"/>
  <c r="N60" i="11" s="1"/>
  <c r="M51" i="11"/>
  <c r="M60" i="11" s="1"/>
  <c r="L51" i="11"/>
  <c r="L60" i="11" s="1"/>
  <c r="K51" i="11"/>
  <c r="I51" i="11"/>
  <c r="I60" i="11" s="1"/>
  <c r="H51" i="11"/>
  <c r="H60" i="11" s="1"/>
  <c r="G51" i="11"/>
  <c r="G60" i="11" s="1"/>
  <c r="F51" i="11"/>
  <c r="F60" i="11" s="1"/>
  <c r="E51" i="11"/>
  <c r="B51" i="11"/>
  <c r="S49" i="11"/>
  <c r="N48" i="11"/>
  <c r="M48" i="11"/>
  <c r="L48" i="11"/>
  <c r="K48" i="11"/>
  <c r="O48" i="11" s="1"/>
  <c r="I48" i="11"/>
  <c r="H48" i="11"/>
  <c r="G48" i="11"/>
  <c r="F48" i="11"/>
  <c r="E48" i="11"/>
  <c r="J48" i="11" s="1"/>
  <c r="N47" i="11"/>
  <c r="M47" i="11"/>
  <c r="L47" i="11"/>
  <c r="K47" i="11"/>
  <c r="O47" i="11" s="1"/>
  <c r="I47" i="11"/>
  <c r="H47" i="11"/>
  <c r="G47" i="11"/>
  <c r="F47" i="11"/>
  <c r="E47" i="11"/>
  <c r="J47" i="11" s="1"/>
  <c r="N46" i="11"/>
  <c r="M46" i="11"/>
  <c r="L46" i="11"/>
  <c r="K46" i="11"/>
  <c r="O46" i="11" s="1"/>
  <c r="I46" i="11"/>
  <c r="H46" i="11"/>
  <c r="G46" i="11"/>
  <c r="F46" i="11"/>
  <c r="E46" i="11"/>
  <c r="J46" i="11" s="1"/>
  <c r="N45" i="11"/>
  <c r="M45" i="11"/>
  <c r="L45" i="11"/>
  <c r="K45" i="11"/>
  <c r="O45" i="11" s="1"/>
  <c r="I45" i="11"/>
  <c r="H45" i="11"/>
  <c r="G45" i="11"/>
  <c r="F45" i="11"/>
  <c r="E45" i="11"/>
  <c r="J45" i="11" s="1"/>
  <c r="N44" i="11"/>
  <c r="M44" i="11"/>
  <c r="L44" i="11"/>
  <c r="K44" i="11"/>
  <c r="O44" i="11" s="1"/>
  <c r="I44" i="11"/>
  <c r="H44" i="11"/>
  <c r="G44" i="11"/>
  <c r="F44" i="11"/>
  <c r="E44" i="11"/>
  <c r="J44" i="11" s="1"/>
  <c r="N43" i="11"/>
  <c r="M43" i="11"/>
  <c r="L43" i="11"/>
  <c r="K43" i="11"/>
  <c r="O43" i="11" s="1"/>
  <c r="I43" i="11"/>
  <c r="H43" i="11"/>
  <c r="G43" i="11"/>
  <c r="F43" i="11"/>
  <c r="E43" i="11"/>
  <c r="J43" i="11" s="1"/>
  <c r="N42" i="11"/>
  <c r="M42" i="11"/>
  <c r="L42" i="11"/>
  <c r="K42" i="11"/>
  <c r="O42" i="11" s="1"/>
  <c r="I42" i="11"/>
  <c r="H42" i="11"/>
  <c r="G42" i="11"/>
  <c r="F42" i="11"/>
  <c r="E42" i="11"/>
  <c r="J42" i="11" s="1"/>
  <c r="N41" i="11"/>
  <c r="N49" i="11" s="1"/>
  <c r="M41" i="11"/>
  <c r="M49" i="11" s="1"/>
  <c r="L41" i="11"/>
  <c r="L49" i="11" s="1"/>
  <c r="K41" i="11"/>
  <c r="I41" i="11"/>
  <c r="I49" i="11" s="1"/>
  <c r="H41" i="11"/>
  <c r="H49" i="11" s="1"/>
  <c r="G41" i="11"/>
  <c r="G49" i="11" s="1"/>
  <c r="F41" i="11"/>
  <c r="F49" i="11" s="1"/>
  <c r="E41" i="11"/>
  <c r="B41" i="11"/>
  <c r="S39" i="11"/>
  <c r="N38" i="11"/>
  <c r="M38" i="11"/>
  <c r="L38" i="11"/>
  <c r="K38" i="11"/>
  <c r="O38" i="11" s="1"/>
  <c r="I38" i="11"/>
  <c r="H38" i="11"/>
  <c r="G38" i="11"/>
  <c r="F38" i="11"/>
  <c r="E38" i="11"/>
  <c r="J38" i="11" s="1"/>
  <c r="N37" i="11"/>
  <c r="M37" i="11"/>
  <c r="L37" i="11"/>
  <c r="K37" i="11"/>
  <c r="O37" i="11" s="1"/>
  <c r="I37" i="11"/>
  <c r="H37" i="11"/>
  <c r="G37" i="11"/>
  <c r="F37" i="11"/>
  <c r="E37" i="11"/>
  <c r="J37" i="11" s="1"/>
  <c r="N36" i="11"/>
  <c r="M36" i="11"/>
  <c r="L36" i="11"/>
  <c r="K36" i="11"/>
  <c r="O36" i="11" s="1"/>
  <c r="I36" i="11"/>
  <c r="H36" i="11"/>
  <c r="G36" i="11"/>
  <c r="F36" i="11"/>
  <c r="E36" i="11"/>
  <c r="J36" i="11" s="1"/>
  <c r="N35" i="11"/>
  <c r="M35" i="11"/>
  <c r="L35" i="11"/>
  <c r="K35" i="11"/>
  <c r="O35" i="11" s="1"/>
  <c r="I35" i="11"/>
  <c r="H35" i="11"/>
  <c r="G35" i="11"/>
  <c r="F35" i="11"/>
  <c r="E35" i="11"/>
  <c r="J35" i="11" s="1"/>
  <c r="N34" i="11"/>
  <c r="M34" i="11"/>
  <c r="L34" i="11"/>
  <c r="K34" i="11"/>
  <c r="O34" i="11" s="1"/>
  <c r="I34" i="11"/>
  <c r="H34" i="11"/>
  <c r="G34" i="11"/>
  <c r="F34" i="11"/>
  <c r="E34" i="11"/>
  <c r="J34" i="11" s="1"/>
  <c r="N33" i="11"/>
  <c r="N39" i="11" s="1"/>
  <c r="M33" i="11"/>
  <c r="M39" i="11" s="1"/>
  <c r="L33" i="11"/>
  <c r="L39" i="11" s="1"/>
  <c r="K33" i="11"/>
  <c r="I33" i="11"/>
  <c r="I39" i="11" s="1"/>
  <c r="H33" i="11"/>
  <c r="H39" i="11" s="1"/>
  <c r="G33" i="11"/>
  <c r="G39" i="11" s="1"/>
  <c r="F33" i="11"/>
  <c r="F39" i="11" s="1"/>
  <c r="E33" i="11"/>
  <c r="B33" i="11"/>
  <c r="S31" i="11"/>
  <c r="N30" i="11"/>
  <c r="M30" i="11"/>
  <c r="L30" i="11"/>
  <c r="K30" i="11"/>
  <c r="O30" i="11" s="1"/>
  <c r="I30" i="11"/>
  <c r="H30" i="11"/>
  <c r="G30" i="11"/>
  <c r="F30" i="11"/>
  <c r="E30" i="11"/>
  <c r="J30" i="11" s="1"/>
  <c r="N29" i="11"/>
  <c r="M29" i="11"/>
  <c r="L29" i="11"/>
  <c r="K29" i="11"/>
  <c r="O29" i="11" s="1"/>
  <c r="I29" i="11"/>
  <c r="H29" i="11"/>
  <c r="G29" i="11"/>
  <c r="F29" i="11"/>
  <c r="E29" i="11"/>
  <c r="J29" i="11" s="1"/>
  <c r="N28" i="11"/>
  <c r="M28" i="11"/>
  <c r="L28" i="11"/>
  <c r="K28" i="11"/>
  <c r="O28" i="11" s="1"/>
  <c r="I28" i="11"/>
  <c r="H28" i="11"/>
  <c r="G28" i="11"/>
  <c r="F28" i="11"/>
  <c r="E28" i="11"/>
  <c r="J28" i="11" s="1"/>
  <c r="N27" i="11"/>
  <c r="M27" i="11"/>
  <c r="L27" i="11"/>
  <c r="K27" i="11"/>
  <c r="O27" i="11" s="1"/>
  <c r="I27" i="11"/>
  <c r="H27" i="11"/>
  <c r="G27" i="11"/>
  <c r="F27" i="11"/>
  <c r="E27" i="11"/>
  <c r="J27" i="11" s="1"/>
  <c r="N26" i="11"/>
  <c r="N31" i="11" s="1"/>
  <c r="M26" i="11"/>
  <c r="M31" i="11" s="1"/>
  <c r="L26" i="11"/>
  <c r="L31" i="11" s="1"/>
  <c r="K26" i="11"/>
  <c r="I26" i="11"/>
  <c r="I31" i="11" s="1"/>
  <c r="H26" i="11"/>
  <c r="H31" i="11" s="1"/>
  <c r="G26" i="11"/>
  <c r="G31" i="11" s="1"/>
  <c r="F26" i="11"/>
  <c r="F31" i="11" s="1"/>
  <c r="E26" i="11"/>
  <c r="B26" i="11"/>
  <c r="S24" i="11"/>
  <c r="N23" i="11"/>
  <c r="M23" i="11"/>
  <c r="L23" i="11"/>
  <c r="K23" i="11"/>
  <c r="O23" i="11" s="1"/>
  <c r="I23" i="11"/>
  <c r="H23" i="11"/>
  <c r="G23" i="11"/>
  <c r="F23" i="11"/>
  <c r="E23" i="11"/>
  <c r="J23" i="11" s="1"/>
  <c r="N22" i="11"/>
  <c r="M22" i="11"/>
  <c r="L22" i="11"/>
  <c r="K22" i="11"/>
  <c r="O22" i="11" s="1"/>
  <c r="I22" i="11"/>
  <c r="H22" i="11"/>
  <c r="G22" i="11"/>
  <c r="F22" i="11"/>
  <c r="E22" i="11"/>
  <c r="J22" i="11" s="1"/>
  <c r="N21" i="11"/>
  <c r="M21" i="11"/>
  <c r="L21" i="11"/>
  <c r="K21" i="11"/>
  <c r="O21" i="11" s="1"/>
  <c r="I21" i="11"/>
  <c r="H21" i="11"/>
  <c r="G21" i="11"/>
  <c r="F21" i="11"/>
  <c r="E21" i="11"/>
  <c r="J21" i="11" s="1"/>
  <c r="N20" i="11"/>
  <c r="M20" i="11"/>
  <c r="L20" i="11"/>
  <c r="K20" i="11"/>
  <c r="O20" i="11" s="1"/>
  <c r="I20" i="11"/>
  <c r="H20" i="11"/>
  <c r="G20" i="11"/>
  <c r="F20" i="11"/>
  <c r="E20" i="11"/>
  <c r="J20" i="11" s="1"/>
  <c r="N19" i="11"/>
  <c r="N24" i="11" s="1"/>
  <c r="M19" i="11"/>
  <c r="M24" i="11" s="1"/>
  <c r="L19" i="11"/>
  <c r="L24" i="11" s="1"/>
  <c r="K19" i="11"/>
  <c r="I19" i="11"/>
  <c r="I24" i="11" s="1"/>
  <c r="H19" i="11"/>
  <c r="H24" i="11" s="1"/>
  <c r="G19" i="11"/>
  <c r="G24" i="11" s="1"/>
  <c r="F19" i="11"/>
  <c r="F24" i="11" s="1"/>
  <c r="E19" i="11"/>
  <c r="B19" i="11"/>
  <c r="S17" i="11"/>
  <c r="N16" i="11"/>
  <c r="M16" i="11"/>
  <c r="L16" i="11"/>
  <c r="K16" i="11"/>
  <c r="O16" i="11" s="1"/>
  <c r="I16" i="11"/>
  <c r="H16" i="11"/>
  <c r="G16" i="11"/>
  <c r="F16" i="11"/>
  <c r="E16" i="11"/>
  <c r="J16" i="11" s="1"/>
  <c r="N15" i="11"/>
  <c r="M15" i="11"/>
  <c r="L15" i="11"/>
  <c r="K15" i="11"/>
  <c r="O15" i="11" s="1"/>
  <c r="I15" i="11"/>
  <c r="H15" i="11"/>
  <c r="G15" i="11"/>
  <c r="F15" i="11"/>
  <c r="E15" i="11"/>
  <c r="J15" i="11" s="1"/>
  <c r="N14" i="11"/>
  <c r="M14" i="11"/>
  <c r="L14" i="11"/>
  <c r="K14" i="11"/>
  <c r="O14" i="11" s="1"/>
  <c r="I14" i="11"/>
  <c r="H14" i="11"/>
  <c r="G14" i="11"/>
  <c r="F14" i="11"/>
  <c r="E14" i="11"/>
  <c r="J14" i="11" s="1"/>
  <c r="N13" i="11"/>
  <c r="M13" i="11"/>
  <c r="L13" i="11"/>
  <c r="K13" i="11"/>
  <c r="O13" i="11" s="1"/>
  <c r="I13" i="11"/>
  <c r="H13" i="11"/>
  <c r="G13" i="11"/>
  <c r="F13" i="11"/>
  <c r="E13" i="11"/>
  <c r="J13" i="11" s="1"/>
  <c r="N12" i="11"/>
  <c r="M12" i="11"/>
  <c r="L12" i="11"/>
  <c r="K12" i="11"/>
  <c r="O12" i="11" s="1"/>
  <c r="I12" i="11"/>
  <c r="H12" i="11"/>
  <c r="G12" i="11"/>
  <c r="F12" i="11"/>
  <c r="E12" i="11"/>
  <c r="J12" i="11" s="1"/>
  <c r="N11" i="11"/>
  <c r="M11" i="11"/>
  <c r="L11" i="11"/>
  <c r="K11" i="11"/>
  <c r="O11" i="11" s="1"/>
  <c r="I11" i="11"/>
  <c r="H11" i="11"/>
  <c r="H17" i="11" s="1"/>
  <c r="G11" i="11"/>
  <c r="G17" i="11" s="1"/>
  <c r="F11" i="11"/>
  <c r="F17" i="11" s="1"/>
  <c r="E11" i="11"/>
  <c r="N10" i="11"/>
  <c r="N17" i="11" s="1"/>
  <c r="M10" i="11"/>
  <c r="M17" i="11" s="1"/>
  <c r="L10" i="11"/>
  <c r="L17" i="11" s="1"/>
  <c r="K10" i="11"/>
  <c r="I10" i="11"/>
  <c r="H10" i="11"/>
  <c r="G10" i="11"/>
  <c r="F10" i="11"/>
  <c r="E10" i="11"/>
  <c r="B10" i="11"/>
  <c r="S8" i="11"/>
  <c r="N7" i="11"/>
  <c r="M7" i="11"/>
  <c r="L7" i="11"/>
  <c r="K7" i="11"/>
  <c r="O7" i="11" s="1"/>
  <c r="I7" i="11"/>
  <c r="H7" i="11"/>
  <c r="G7" i="11"/>
  <c r="F7" i="11"/>
  <c r="E7" i="11"/>
  <c r="J7" i="11" s="1"/>
  <c r="N6" i="11"/>
  <c r="M6" i="11"/>
  <c r="L6" i="11"/>
  <c r="K6" i="11"/>
  <c r="O6" i="11" s="1"/>
  <c r="I6" i="11"/>
  <c r="H6" i="11"/>
  <c r="G6" i="11"/>
  <c r="F6" i="11"/>
  <c r="E6" i="11"/>
  <c r="J6" i="11" s="1"/>
  <c r="N5" i="11"/>
  <c r="M5" i="11"/>
  <c r="L5" i="11"/>
  <c r="K5" i="11"/>
  <c r="O5" i="11" s="1"/>
  <c r="I5" i="11"/>
  <c r="H5" i="11"/>
  <c r="G5" i="11"/>
  <c r="F5" i="11"/>
  <c r="E5" i="11"/>
  <c r="J5" i="11" s="1"/>
  <c r="N4" i="11"/>
  <c r="M4" i="11"/>
  <c r="L4" i="11"/>
  <c r="K4" i="11"/>
  <c r="O4" i="11" s="1"/>
  <c r="I4" i="11"/>
  <c r="H4" i="11"/>
  <c r="G4" i="11"/>
  <c r="F4" i="11"/>
  <c r="E4" i="11"/>
  <c r="J4" i="11" s="1"/>
  <c r="N3" i="11"/>
  <c r="N8" i="11" s="1"/>
  <c r="M3" i="11"/>
  <c r="M8" i="11" s="1"/>
  <c r="L3" i="11"/>
  <c r="L8" i="11" s="1"/>
  <c r="K3" i="11"/>
  <c r="I3" i="11"/>
  <c r="I8" i="11" s="1"/>
  <c r="H3" i="11"/>
  <c r="H8" i="11" s="1"/>
  <c r="G3" i="11"/>
  <c r="G8" i="11" s="1"/>
  <c r="F3" i="11"/>
  <c r="F8" i="11" s="1"/>
  <c r="E3" i="11"/>
  <c r="B3" i="11"/>
  <c r="E84" i="10"/>
  <c r="D84" i="10"/>
  <c r="E83" i="10"/>
  <c r="D83" i="10"/>
  <c r="G82" i="10"/>
  <c r="F82" i="10"/>
  <c r="E82" i="10"/>
  <c r="D82" i="10"/>
  <c r="G81" i="10"/>
  <c r="F81" i="10"/>
  <c r="E81" i="10"/>
  <c r="D81" i="10"/>
  <c r="E80" i="10"/>
  <c r="D80" i="10"/>
  <c r="E79" i="10"/>
  <c r="D79" i="10"/>
  <c r="F78" i="10"/>
  <c r="E78" i="10"/>
  <c r="D78" i="10"/>
  <c r="B78" i="10"/>
  <c r="F75" i="10"/>
  <c r="E75" i="10"/>
  <c r="D75" i="10"/>
  <c r="F74" i="10"/>
  <c r="E74" i="10"/>
  <c r="D74" i="10"/>
  <c r="H73" i="10"/>
  <c r="G73" i="10"/>
  <c r="F73" i="10"/>
  <c r="E73" i="10"/>
  <c r="D73" i="10"/>
  <c r="G72" i="10"/>
  <c r="F72" i="10"/>
  <c r="E72" i="10"/>
  <c r="D72" i="10"/>
  <c r="F71" i="10"/>
  <c r="E71" i="10"/>
  <c r="D71" i="10"/>
  <c r="G70" i="10"/>
  <c r="F70" i="10"/>
  <c r="E70" i="10"/>
  <c r="D70" i="10"/>
  <c r="B70" i="10"/>
  <c r="F67" i="10"/>
  <c r="E67" i="10"/>
  <c r="D67" i="10"/>
  <c r="F66" i="10"/>
  <c r="E66" i="10"/>
  <c r="D66" i="10"/>
  <c r="G65" i="10"/>
  <c r="F65" i="10"/>
  <c r="E65" i="10"/>
  <c r="D65" i="10"/>
  <c r="G64" i="10"/>
  <c r="F64" i="10"/>
  <c r="E64" i="10"/>
  <c r="D64" i="10"/>
  <c r="G63" i="10"/>
  <c r="F63" i="10"/>
  <c r="E63" i="10"/>
  <c r="D63" i="10"/>
  <c r="H62" i="10"/>
  <c r="G62" i="10"/>
  <c r="F62" i="10"/>
  <c r="E62" i="10"/>
  <c r="D62" i="10"/>
  <c r="B62" i="10"/>
  <c r="E59" i="10"/>
  <c r="D59" i="10"/>
  <c r="F58" i="10"/>
  <c r="E58" i="10"/>
  <c r="D58" i="10"/>
  <c r="F57" i="10"/>
  <c r="E57" i="10"/>
  <c r="D57" i="10"/>
  <c r="G56" i="10"/>
  <c r="F56" i="10"/>
  <c r="E56" i="10"/>
  <c r="D56" i="10"/>
  <c r="F55" i="10"/>
  <c r="E55" i="10"/>
  <c r="D55" i="10"/>
  <c r="G54" i="10"/>
  <c r="F54" i="10"/>
  <c r="E54" i="10"/>
  <c r="D54" i="10"/>
  <c r="G53" i="10"/>
  <c r="F53" i="10"/>
  <c r="E53" i="10"/>
  <c r="D53" i="10"/>
  <c r="G52" i="10"/>
  <c r="F52" i="10"/>
  <c r="E52" i="10"/>
  <c r="D52" i="10"/>
  <c r="E51" i="10"/>
  <c r="D51" i="10"/>
  <c r="B51" i="10"/>
  <c r="G48" i="10"/>
  <c r="F48" i="10"/>
  <c r="E48" i="10"/>
  <c r="D48" i="10"/>
  <c r="F47" i="10"/>
  <c r="E47" i="10"/>
  <c r="D47" i="10"/>
  <c r="G46" i="10"/>
  <c r="F46" i="10"/>
  <c r="E46" i="10"/>
  <c r="D46" i="10"/>
  <c r="G45" i="10"/>
  <c r="F45" i="10"/>
  <c r="E45" i="10"/>
  <c r="D45" i="10"/>
  <c r="G44" i="10"/>
  <c r="F44" i="10"/>
  <c r="E44" i="10"/>
  <c r="D44" i="10"/>
  <c r="F43" i="10"/>
  <c r="E43" i="10"/>
  <c r="D43" i="10"/>
  <c r="G42" i="10"/>
  <c r="F42" i="10"/>
  <c r="E42" i="10"/>
  <c r="D42" i="10"/>
  <c r="F41" i="10"/>
  <c r="E41" i="10"/>
  <c r="D41" i="10"/>
  <c r="B41" i="10"/>
  <c r="F38" i="10"/>
  <c r="E38" i="10"/>
  <c r="D38" i="10"/>
  <c r="F37" i="10"/>
  <c r="E37" i="10"/>
  <c r="D37" i="10"/>
  <c r="F36" i="10"/>
  <c r="E36" i="10"/>
  <c r="D36" i="10"/>
  <c r="G35" i="10"/>
  <c r="F35" i="10"/>
  <c r="E35" i="10"/>
  <c r="D35" i="10"/>
  <c r="G34" i="10"/>
  <c r="F34" i="10"/>
  <c r="E34" i="10"/>
  <c r="D34" i="10"/>
  <c r="G33" i="10"/>
  <c r="F33" i="10"/>
  <c r="E33" i="10"/>
  <c r="D33" i="10"/>
  <c r="B33" i="10"/>
  <c r="E30" i="10"/>
  <c r="D30" i="10"/>
  <c r="F29" i="10"/>
  <c r="E29" i="10"/>
  <c r="D29" i="10"/>
  <c r="F28" i="10"/>
  <c r="E28" i="10"/>
  <c r="D28" i="10"/>
  <c r="F27" i="10"/>
  <c r="E27" i="10"/>
  <c r="D27" i="10"/>
  <c r="E26" i="10"/>
  <c r="D26" i="10"/>
  <c r="B26" i="10"/>
  <c r="H23" i="10"/>
  <c r="G23" i="10"/>
  <c r="F23" i="10"/>
  <c r="E23" i="10"/>
  <c r="D23" i="10"/>
  <c r="H22" i="10"/>
  <c r="G22" i="10"/>
  <c r="F22" i="10"/>
  <c r="E22" i="10"/>
  <c r="D22" i="10"/>
  <c r="F21" i="10"/>
  <c r="E21" i="10"/>
  <c r="D21" i="10"/>
  <c r="G20" i="10"/>
  <c r="F20" i="10"/>
  <c r="E20" i="10"/>
  <c r="D20" i="10"/>
  <c r="G19" i="10"/>
  <c r="F19" i="10"/>
  <c r="E19" i="10"/>
  <c r="D19" i="10"/>
  <c r="B19" i="10"/>
  <c r="G16" i="10"/>
  <c r="F16" i="10"/>
  <c r="E16" i="10"/>
  <c r="D16" i="10"/>
  <c r="G15" i="10"/>
  <c r="F15" i="10"/>
  <c r="E15" i="10"/>
  <c r="D15" i="10"/>
  <c r="F14" i="10"/>
  <c r="E14" i="10"/>
  <c r="D14" i="10"/>
  <c r="H13" i="10"/>
  <c r="G13" i="10"/>
  <c r="F13" i="10"/>
  <c r="E13" i="10"/>
  <c r="D13" i="10"/>
  <c r="G12" i="10"/>
  <c r="F12" i="10"/>
  <c r="E12" i="10"/>
  <c r="D12" i="10"/>
  <c r="G11" i="10"/>
  <c r="F11" i="10"/>
  <c r="E11" i="10"/>
  <c r="D11" i="10"/>
  <c r="G10" i="10"/>
  <c r="F10" i="10"/>
  <c r="E10" i="10"/>
  <c r="D10" i="10"/>
  <c r="B10" i="10"/>
  <c r="G7" i="10"/>
  <c r="F7" i="10"/>
  <c r="E7" i="10"/>
  <c r="D7" i="10"/>
  <c r="E6" i="10"/>
  <c r="D6" i="10"/>
  <c r="F5" i="10"/>
  <c r="E5" i="10"/>
  <c r="D5" i="10"/>
  <c r="F4" i="10"/>
  <c r="E4" i="10"/>
  <c r="D4" i="10"/>
  <c r="G3" i="10"/>
  <c r="F3" i="10"/>
  <c r="E3" i="10"/>
  <c r="D3" i="10"/>
  <c r="B3" i="10"/>
  <c r="Z148" i="9"/>
  <c r="N148" i="9"/>
  <c r="M148" i="9"/>
  <c r="L148" i="9"/>
  <c r="K148" i="9"/>
  <c r="O148" i="9" s="1"/>
  <c r="I148" i="9"/>
  <c r="V148" i="9" s="1"/>
  <c r="H148" i="9"/>
  <c r="G148" i="9"/>
  <c r="T148" i="9" s="1"/>
  <c r="F148" i="9"/>
  <c r="E148" i="9"/>
  <c r="J148" i="9" s="1"/>
  <c r="Z147" i="9"/>
  <c r="N147" i="9"/>
  <c r="M147" i="9"/>
  <c r="L147" i="9"/>
  <c r="K147" i="9"/>
  <c r="O147" i="9" s="1"/>
  <c r="I147" i="9"/>
  <c r="V147" i="9" s="1"/>
  <c r="H147" i="9"/>
  <c r="G147" i="9"/>
  <c r="T147" i="9" s="1"/>
  <c r="F147" i="9"/>
  <c r="E147" i="9"/>
  <c r="J147" i="9" s="1"/>
  <c r="Z146" i="9"/>
  <c r="N146" i="9"/>
  <c r="M146" i="9"/>
  <c r="L146" i="9"/>
  <c r="K146" i="9"/>
  <c r="O146" i="9" s="1"/>
  <c r="I146" i="9"/>
  <c r="V146" i="9" s="1"/>
  <c r="H146" i="9"/>
  <c r="G146" i="9"/>
  <c r="T146" i="9" s="1"/>
  <c r="F146" i="9"/>
  <c r="E146" i="9"/>
  <c r="J146" i="9" s="1"/>
  <c r="Z145" i="9"/>
  <c r="N145" i="9"/>
  <c r="N149" i="9" s="1"/>
  <c r="M145" i="9"/>
  <c r="M149" i="9" s="1"/>
  <c r="L145" i="9"/>
  <c r="L149" i="9" s="1"/>
  <c r="K145" i="9"/>
  <c r="I145" i="9"/>
  <c r="H145" i="9"/>
  <c r="G145" i="9"/>
  <c r="F145" i="9"/>
  <c r="E145" i="9"/>
  <c r="B145" i="9"/>
  <c r="Z142" i="9"/>
  <c r="N142" i="9"/>
  <c r="M142" i="9"/>
  <c r="L142" i="9"/>
  <c r="K142" i="9"/>
  <c r="O142" i="9" s="1"/>
  <c r="I142" i="9"/>
  <c r="V142" i="9" s="1"/>
  <c r="H142" i="9"/>
  <c r="G142" i="9"/>
  <c r="T142" i="9" s="1"/>
  <c r="F142" i="9"/>
  <c r="E142" i="9"/>
  <c r="J142" i="9" s="1"/>
  <c r="Z141" i="9"/>
  <c r="N141" i="9"/>
  <c r="N143" i="9" s="1"/>
  <c r="M141" i="9"/>
  <c r="M143" i="9" s="1"/>
  <c r="L141" i="9"/>
  <c r="L143" i="9" s="1"/>
  <c r="K141" i="9"/>
  <c r="I141" i="9"/>
  <c r="H141" i="9"/>
  <c r="G141" i="9"/>
  <c r="F141" i="9"/>
  <c r="E141" i="9"/>
  <c r="B141" i="9"/>
  <c r="Z138" i="9"/>
  <c r="N138" i="9"/>
  <c r="M138" i="9"/>
  <c r="L138" i="9"/>
  <c r="K138" i="9"/>
  <c r="O138" i="9" s="1"/>
  <c r="I138" i="9"/>
  <c r="V138" i="9" s="1"/>
  <c r="H138" i="9"/>
  <c r="G138" i="9"/>
  <c r="T138" i="9" s="1"/>
  <c r="F138" i="9"/>
  <c r="E138" i="9"/>
  <c r="J138" i="9" s="1"/>
  <c r="Z137" i="9"/>
  <c r="N137" i="9"/>
  <c r="M137" i="9"/>
  <c r="L137" i="9"/>
  <c r="K137" i="9"/>
  <c r="O137" i="9" s="1"/>
  <c r="I137" i="9"/>
  <c r="V137" i="9" s="1"/>
  <c r="H137" i="9"/>
  <c r="G137" i="9"/>
  <c r="T137" i="9" s="1"/>
  <c r="F137" i="9"/>
  <c r="E137" i="9"/>
  <c r="J137" i="9" s="1"/>
  <c r="Z136" i="9"/>
  <c r="N136" i="9"/>
  <c r="M136" i="9"/>
  <c r="L136" i="9"/>
  <c r="K136" i="9"/>
  <c r="O136" i="9" s="1"/>
  <c r="I136" i="9"/>
  <c r="V136" i="9" s="1"/>
  <c r="H136" i="9"/>
  <c r="G136" i="9"/>
  <c r="T136" i="9" s="1"/>
  <c r="F136" i="9"/>
  <c r="E136" i="9"/>
  <c r="J136" i="9" s="1"/>
  <c r="Z135" i="9"/>
  <c r="N135" i="9"/>
  <c r="N139" i="9" s="1"/>
  <c r="M135" i="9"/>
  <c r="M139" i="9" s="1"/>
  <c r="L135" i="9"/>
  <c r="L139" i="9" s="1"/>
  <c r="K135" i="9"/>
  <c r="I135" i="9"/>
  <c r="H135" i="9"/>
  <c r="G135" i="9"/>
  <c r="F135" i="9"/>
  <c r="E135" i="9"/>
  <c r="B135" i="9"/>
  <c r="Z132" i="9"/>
  <c r="N132" i="9"/>
  <c r="M132" i="9"/>
  <c r="L132" i="9"/>
  <c r="K132" i="9"/>
  <c r="O132" i="9" s="1"/>
  <c r="I132" i="9"/>
  <c r="V132" i="9" s="1"/>
  <c r="H132" i="9"/>
  <c r="G132" i="9"/>
  <c r="T132" i="9" s="1"/>
  <c r="F132" i="9"/>
  <c r="E132" i="9"/>
  <c r="J132" i="9" s="1"/>
  <c r="Z131" i="9"/>
  <c r="N131" i="9"/>
  <c r="M131" i="9"/>
  <c r="L131" i="9"/>
  <c r="K131" i="9"/>
  <c r="O131" i="9" s="1"/>
  <c r="I131" i="9"/>
  <c r="V131" i="9" s="1"/>
  <c r="H131" i="9"/>
  <c r="G131" i="9"/>
  <c r="T131" i="9" s="1"/>
  <c r="F131" i="9"/>
  <c r="E131" i="9"/>
  <c r="J131" i="9" s="1"/>
  <c r="Z130" i="9"/>
  <c r="N130" i="9"/>
  <c r="M130" i="9"/>
  <c r="L130" i="9"/>
  <c r="K130" i="9"/>
  <c r="O130" i="9" s="1"/>
  <c r="I130" i="9"/>
  <c r="V130" i="9" s="1"/>
  <c r="H130" i="9"/>
  <c r="G130" i="9"/>
  <c r="T130" i="9" s="1"/>
  <c r="F130" i="9"/>
  <c r="E130" i="9"/>
  <c r="J130" i="9" s="1"/>
  <c r="Z129" i="9"/>
  <c r="N129" i="9"/>
  <c r="M129" i="9"/>
  <c r="L129" i="9"/>
  <c r="K129" i="9"/>
  <c r="O129" i="9" s="1"/>
  <c r="I129" i="9"/>
  <c r="V129" i="9" s="1"/>
  <c r="H129" i="9"/>
  <c r="G129" i="9"/>
  <c r="T129" i="9" s="1"/>
  <c r="F129" i="9"/>
  <c r="E129" i="9"/>
  <c r="J129" i="9" s="1"/>
  <c r="Z128" i="9"/>
  <c r="N128" i="9"/>
  <c r="M128" i="9"/>
  <c r="L128" i="9"/>
  <c r="K128" i="9"/>
  <c r="O128" i="9" s="1"/>
  <c r="I128" i="9"/>
  <c r="V128" i="9" s="1"/>
  <c r="H128" i="9"/>
  <c r="G128" i="9"/>
  <c r="T128" i="9" s="1"/>
  <c r="F128" i="9"/>
  <c r="E128" i="9"/>
  <c r="J128" i="9" s="1"/>
  <c r="Z127" i="9"/>
  <c r="N127" i="9"/>
  <c r="N133" i="9" s="1"/>
  <c r="M127" i="9"/>
  <c r="M133" i="9" s="1"/>
  <c r="L127" i="9"/>
  <c r="L133" i="9" s="1"/>
  <c r="K127" i="9"/>
  <c r="I127" i="9"/>
  <c r="H127" i="9"/>
  <c r="G127" i="9"/>
  <c r="F127" i="9"/>
  <c r="E127" i="9"/>
  <c r="B127" i="9"/>
  <c r="Z124" i="9"/>
  <c r="N124" i="9"/>
  <c r="M124" i="9"/>
  <c r="L124" i="9"/>
  <c r="K124" i="9"/>
  <c r="O124" i="9" s="1"/>
  <c r="I124" i="9"/>
  <c r="V124" i="9" s="1"/>
  <c r="H124" i="9"/>
  <c r="G124" i="9"/>
  <c r="T124" i="9" s="1"/>
  <c r="F124" i="9"/>
  <c r="E124" i="9"/>
  <c r="J124" i="9" s="1"/>
  <c r="Z123" i="9"/>
  <c r="N123" i="9"/>
  <c r="M123" i="9"/>
  <c r="L123" i="9"/>
  <c r="K123" i="9"/>
  <c r="O123" i="9" s="1"/>
  <c r="I123" i="9"/>
  <c r="V123" i="9" s="1"/>
  <c r="H123" i="9"/>
  <c r="G123" i="9"/>
  <c r="T123" i="9" s="1"/>
  <c r="F123" i="9"/>
  <c r="E123" i="9"/>
  <c r="J123" i="9" s="1"/>
  <c r="Z122" i="9"/>
  <c r="N122" i="9"/>
  <c r="M122" i="9"/>
  <c r="L122" i="9"/>
  <c r="K122" i="9"/>
  <c r="O122" i="9" s="1"/>
  <c r="I122" i="9"/>
  <c r="V122" i="9" s="1"/>
  <c r="H122" i="9"/>
  <c r="G122" i="9"/>
  <c r="T122" i="9" s="1"/>
  <c r="F122" i="9"/>
  <c r="E122" i="9"/>
  <c r="J122" i="9" s="1"/>
  <c r="Z121" i="9"/>
  <c r="N121" i="9"/>
  <c r="M121" i="9"/>
  <c r="L121" i="9"/>
  <c r="K121" i="9"/>
  <c r="O121" i="9" s="1"/>
  <c r="I121" i="9"/>
  <c r="V121" i="9" s="1"/>
  <c r="H121" i="9"/>
  <c r="G121" i="9"/>
  <c r="T121" i="9" s="1"/>
  <c r="F121" i="9"/>
  <c r="E121" i="9"/>
  <c r="J121" i="9" s="1"/>
  <c r="Z120" i="9"/>
  <c r="N120" i="9"/>
  <c r="M120" i="9"/>
  <c r="L120" i="9"/>
  <c r="K120" i="9"/>
  <c r="O120" i="9" s="1"/>
  <c r="I120" i="9"/>
  <c r="V120" i="9" s="1"/>
  <c r="H120" i="9"/>
  <c r="G120" i="9"/>
  <c r="T120" i="9" s="1"/>
  <c r="F120" i="9"/>
  <c r="E120" i="9"/>
  <c r="J120" i="9" s="1"/>
  <c r="Z119" i="9"/>
  <c r="N119" i="9"/>
  <c r="M119" i="9"/>
  <c r="L119" i="9"/>
  <c r="K119" i="9"/>
  <c r="O119" i="9" s="1"/>
  <c r="I119" i="9"/>
  <c r="V119" i="9" s="1"/>
  <c r="H119" i="9"/>
  <c r="G119" i="9"/>
  <c r="T119" i="9" s="1"/>
  <c r="F119" i="9"/>
  <c r="E119" i="9"/>
  <c r="J119" i="9" s="1"/>
  <c r="Z118" i="9"/>
  <c r="N118" i="9"/>
  <c r="N125" i="9" s="1"/>
  <c r="M118" i="9"/>
  <c r="M125" i="9" s="1"/>
  <c r="L118" i="9"/>
  <c r="L125" i="9" s="1"/>
  <c r="K118" i="9"/>
  <c r="I118" i="9"/>
  <c r="H118" i="9"/>
  <c r="G118" i="9"/>
  <c r="F118" i="9"/>
  <c r="E118" i="9"/>
  <c r="B118" i="9"/>
  <c r="Z115" i="9"/>
  <c r="N115" i="9"/>
  <c r="M115" i="9"/>
  <c r="L115" i="9"/>
  <c r="K115" i="9"/>
  <c r="O115" i="9" s="1"/>
  <c r="I115" i="9"/>
  <c r="V115" i="9" s="1"/>
  <c r="H115" i="9"/>
  <c r="G115" i="9"/>
  <c r="T115" i="9" s="1"/>
  <c r="F115" i="9"/>
  <c r="E115" i="9"/>
  <c r="J115" i="9" s="1"/>
  <c r="Z114" i="9"/>
  <c r="N114" i="9"/>
  <c r="M114" i="9"/>
  <c r="L114" i="9"/>
  <c r="K114" i="9"/>
  <c r="O114" i="9" s="1"/>
  <c r="I114" i="9"/>
  <c r="V114" i="9" s="1"/>
  <c r="H114" i="9"/>
  <c r="G114" i="9"/>
  <c r="T114" i="9" s="1"/>
  <c r="F114" i="9"/>
  <c r="E114" i="9"/>
  <c r="J114" i="9" s="1"/>
  <c r="Z113" i="9"/>
  <c r="N113" i="9"/>
  <c r="M113" i="9"/>
  <c r="L113" i="9"/>
  <c r="K113" i="9"/>
  <c r="O113" i="9" s="1"/>
  <c r="I113" i="9"/>
  <c r="V113" i="9" s="1"/>
  <c r="H113" i="9"/>
  <c r="G113" i="9"/>
  <c r="T113" i="9" s="1"/>
  <c r="F113" i="9"/>
  <c r="E113" i="9"/>
  <c r="J113" i="9" s="1"/>
  <c r="Z112" i="9"/>
  <c r="N112" i="9"/>
  <c r="N116" i="9" s="1"/>
  <c r="M112" i="9"/>
  <c r="M116" i="9" s="1"/>
  <c r="L112" i="9"/>
  <c r="L116" i="9" s="1"/>
  <c r="K112" i="9"/>
  <c r="I112" i="9"/>
  <c r="H112" i="9"/>
  <c r="G112" i="9"/>
  <c r="F112" i="9"/>
  <c r="E112" i="9"/>
  <c r="B112" i="9"/>
  <c r="Z109" i="9"/>
  <c r="N109" i="9"/>
  <c r="M109" i="9"/>
  <c r="L109" i="9"/>
  <c r="K109" i="9"/>
  <c r="O109" i="9" s="1"/>
  <c r="I109" i="9"/>
  <c r="V109" i="9" s="1"/>
  <c r="H109" i="9"/>
  <c r="G109" i="9"/>
  <c r="T109" i="9" s="1"/>
  <c r="F109" i="9"/>
  <c r="E109" i="9"/>
  <c r="J109" i="9" s="1"/>
  <c r="Z108" i="9"/>
  <c r="N108" i="9"/>
  <c r="M108" i="9"/>
  <c r="L108" i="9"/>
  <c r="K108" i="9"/>
  <c r="O108" i="9" s="1"/>
  <c r="I108" i="9"/>
  <c r="V108" i="9" s="1"/>
  <c r="H108" i="9"/>
  <c r="G108" i="9"/>
  <c r="T108" i="9" s="1"/>
  <c r="F108" i="9"/>
  <c r="E108" i="9"/>
  <c r="J108" i="9" s="1"/>
  <c r="Z107" i="9"/>
  <c r="N107" i="9"/>
  <c r="M107" i="9"/>
  <c r="L107" i="9"/>
  <c r="K107" i="9"/>
  <c r="O107" i="9" s="1"/>
  <c r="I107" i="9"/>
  <c r="V107" i="9" s="1"/>
  <c r="H107" i="9"/>
  <c r="G107" i="9"/>
  <c r="T107" i="9" s="1"/>
  <c r="F107" i="9"/>
  <c r="E107" i="9"/>
  <c r="J107" i="9" s="1"/>
  <c r="Z106" i="9"/>
  <c r="N106" i="9"/>
  <c r="M106" i="9"/>
  <c r="L106" i="9"/>
  <c r="K106" i="9"/>
  <c r="O106" i="9" s="1"/>
  <c r="I106" i="9"/>
  <c r="V106" i="9" s="1"/>
  <c r="H106" i="9"/>
  <c r="G106" i="9"/>
  <c r="T106" i="9" s="1"/>
  <c r="F106" i="9"/>
  <c r="E106" i="9"/>
  <c r="J106" i="9" s="1"/>
  <c r="Z105" i="9"/>
  <c r="N105" i="9"/>
  <c r="N110" i="9" s="1"/>
  <c r="M105" i="9"/>
  <c r="M110" i="9" s="1"/>
  <c r="L105" i="9"/>
  <c r="L110" i="9" s="1"/>
  <c r="K105" i="9"/>
  <c r="I105" i="9"/>
  <c r="H105" i="9"/>
  <c r="G105" i="9"/>
  <c r="F105" i="9"/>
  <c r="E105" i="9"/>
  <c r="B105" i="9"/>
  <c r="Z102" i="9"/>
  <c r="N102" i="9"/>
  <c r="M102" i="9"/>
  <c r="L102" i="9"/>
  <c r="K102" i="9"/>
  <c r="O102" i="9" s="1"/>
  <c r="I102" i="9"/>
  <c r="V102" i="9" s="1"/>
  <c r="H102" i="9"/>
  <c r="G102" i="9"/>
  <c r="T102" i="9" s="1"/>
  <c r="F102" i="9"/>
  <c r="E102" i="9"/>
  <c r="J102" i="9" s="1"/>
  <c r="Z101" i="9"/>
  <c r="N101" i="9"/>
  <c r="M101" i="9"/>
  <c r="L101" i="9"/>
  <c r="K101" i="9"/>
  <c r="O101" i="9" s="1"/>
  <c r="I101" i="9"/>
  <c r="V101" i="9" s="1"/>
  <c r="H101" i="9"/>
  <c r="G101" i="9"/>
  <c r="T101" i="9" s="1"/>
  <c r="F101" i="9"/>
  <c r="E101" i="9"/>
  <c r="J101" i="9" s="1"/>
  <c r="Z100" i="9"/>
  <c r="N100" i="9"/>
  <c r="M100" i="9"/>
  <c r="L100" i="9"/>
  <c r="K100" i="9"/>
  <c r="O100" i="9" s="1"/>
  <c r="I100" i="9"/>
  <c r="V100" i="9" s="1"/>
  <c r="H100" i="9"/>
  <c r="G100" i="9"/>
  <c r="T100" i="9" s="1"/>
  <c r="F100" i="9"/>
  <c r="E100" i="9"/>
  <c r="J100" i="9" s="1"/>
  <c r="Z99" i="9"/>
  <c r="N99" i="9"/>
  <c r="M99" i="9"/>
  <c r="L99" i="9"/>
  <c r="K99" i="9"/>
  <c r="O99" i="9" s="1"/>
  <c r="I99" i="9"/>
  <c r="V99" i="9" s="1"/>
  <c r="H99" i="9"/>
  <c r="G99" i="9"/>
  <c r="T99" i="9" s="1"/>
  <c r="F99" i="9"/>
  <c r="E99" i="9"/>
  <c r="J99" i="9" s="1"/>
  <c r="Z98" i="9"/>
  <c r="N98" i="9"/>
  <c r="M98" i="9"/>
  <c r="L98" i="9"/>
  <c r="K98" i="9"/>
  <c r="O98" i="9" s="1"/>
  <c r="I98" i="9"/>
  <c r="V98" i="9" s="1"/>
  <c r="H98" i="9"/>
  <c r="G98" i="9"/>
  <c r="T98" i="9" s="1"/>
  <c r="F98" i="9"/>
  <c r="E98" i="9"/>
  <c r="J98" i="9" s="1"/>
  <c r="Z97" i="9"/>
  <c r="N97" i="9"/>
  <c r="M97" i="9"/>
  <c r="L97" i="9"/>
  <c r="K97" i="9"/>
  <c r="O97" i="9" s="1"/>
  <c r="I97" i="9"/>
  <c r="V97" i="9" s="1"/>
  <c r="H97" i="9"/>
  <c r="G97" i="9"/>
  <c r="T97" i="9" s="1"/>
  <c r="F97" i="9"/>
  <c r="E97" i="9"/>
  <c r="J97" i="9" s="1"/>
  <c r="Z96" i="9"/>
  <c r="N96" i="9"/>
  <c r="M96" i="9"/>
  <c r="L96" i="9"/>
  <c r="K96" i="9"/>
  <c r="O96" i="9" s="1"/>
  <c r="I96" i="9"/>
  <c r="V96" i="9" s="1"/>
  <c r="H96" i="9"/>
  <c r="G96" i="9"/>
  <c r="T96" i="9" s="1"/>
  <c r="F96" i="9"/>
  <c r="E96" i="9"/>
  <c r="J96" i="9" s="1"/>
  <c r="Z95" i="9"/>
  <c r="N95" i="9"/>
  <c r="N103" i="9" s="1"/>
  <c r="M95" i="9"/>
  <c r="M103" i="9" s="1"/>
  <c r="L95" i="9"/>
  <c r="L103" i="9" s="1"/>
  <c r="K95" i="9"/>
  <c r="I95" i="9"/>
  <c r="H95" i="9"/>
  <c r="G95" i="9"/>
  <c r="F95" i="9"/>
  <c r="E95" i="9"/>
  <c r="B95" i="9"/>
  <c r="Z92" i="9"/>
  <c r="N92" i="9"/>
  <c r="M92" i="9"/>
  <c r="L92" i="9"/>
  <c r="K92" i="9"/>
  <c r="O92" i="9" s="1"/>
  <c r="I92" i="9"/>
  <c r="V92" i="9" s="1"/>
  <c r="H92" i="9"/>
  <c r="G92" i="9"/>
  <c r="T92" i="9" s="1"/>
  <c r="F92" i="9"/>
  <c r="E92" i="9"/>
  <c r="J92" i="9" s="1"/>
  <c r="Z91" i="9"/>
  <c r="N91" i="9"/>
  <c r="M91" i="9"/>
  <c r="L91" i="9"/>
  <c r="K91" i="9"/>
  <c r="O91" i="9" s="1"/>
  <c r="I91" i="9"/>
  <c r="V91" i="9" s="1"/>
  <c r="H91" i="9"/>
  <c r="G91" i="9"/>
  <c r="T91" i="9" s="1"/>
  <c r="F91" i="9"/>
  <c r="E91" i="9"/>
  <c r="J91" i="9" s="1"/>
  <c r="Z90" i="9"/>
  <c r="N90" i="9"/>
  <c r="M90" i="9"/>
  <c r="L90" i="9"/>
  <c r="K90" i="9"/>
  <c r="O90" i="9" s="1"/>
  <c r="I90" i="9"/>
  <c r="V90" i="9" s="1"/>
  <c r="H90" i="9"/>
  <c r="G90" i="9"/>
  <c r="T90" i="9" s="1"/>
  <c r="F90" i="9"/>
  <c r="E90" i="9"/>
  <c r="J90" i="9" s="1"/>
  <c r="Z89" i="9"/>
  <c r="N89" i="9"/>
  <c r="M89" i="9"/>
  <c r="L89" i="9"/>
  <c r="K89" i="9"/>
  <c r="O89" i="9" s="1"/>
  <c r="I89" i="9"/>
  <c r="V89" i="9" s="1"/>
  <c r="H89" i="9"/>
  <c r="G89" i="9"/>
  <c r="T89" i="9" s="1"/>
  <c r="F89" i="9"/>
  <c r="E89" i="9"/>
  <c r="J89" i="9" s="1"/>
  <c r="Z88" i="9"/>
  <c r="N88" i="9"/>
  <c r="M88" i="9"/>
  <c r="L88" i="9"/>
  <c r="K88" i="9"/>
  <c r="O88" i="9" s="1"/>
  <c r="I88" i="9"/>
  <c r="V88" i="9" s="1"/>
  <c r="H88" i="9"/>
  <c r="G88" i="9"/>
  <c r="T88" i="9" s="1"/>
  <c r="F88" i="9"/>
  <c r="E88" i="9"/>
  <c r="J88" i="9" s="1"/>
  <c r="Z87" i="9"/>
  <c r="N87" i="9"/>
  <c r="N93" i="9" s="1"/>
  <c r="M87" i="9"/>
  <c r="M93" i="9" s="1"/>
  <c r="L87" i="9"/>
  <c r="L93" i="9" s="1"/>
  <c r="K87" i="9"/>
  <c r="I87" i="9"/>
  <c r="H87" i="9"/>
  <c r="G87" i="9"/>
  <c r="F87" i="9"/>
  <c r="E87" i="9"/>
  <c r="B87" i="9"/>
  <c r="Z84" i="9"/>
  <c r="N84" i="9"/>
  <c r="M84" i="9"/>
  <c r="L84" i="9"/>
  <c r="K84" i="9"/>
  <c r="O84" i="9" s="1"/>
  <c r="I84" i="9"/>
  <c r="V84" i="9" s="1"/>
  <c r="H84" i="9"/>
  <c r="G84" i="9"/>
  <c r="T84" i="9" s="1"/>
  <c r="F84" i="9"/>
  <c r="E84" i="9"/>
  <c r="J84" i="9" s="1"/>
  <c r="Z83" i="9"/>
  <c r="N83" i="9"/>
  <c r="M83" i="9"/>
  <c r="L83" i="9"/>
  <c r="K83" i="9"/>
  <c r="O83" i="9" s="1"/>
  <c r="I83" i="9"/>
  <c r="V83" i="9" s="1"/>
  <c r="H83" i="9"/>
  <c r="G83" i="9"/>
  <c r="T83" i="9" s="1"/>
  <c r="F83" i="9"/>
  <c r="E83" i="9"/>
  <c r="J83" i="9" s="1"/>
  <c r="Z82" i="9"/>
  <c r="N82" i="9"/>
  <c r="M82" i="9"/>
  <c r="L82" i="9"/>
  <c r="K82" i="9"/>
  <c r="O82" i="9" s="1"/>
  <c r="I82" i="9"/>
  <c r="V82" i="9" s="1"/>
  <c r="H82" i="9"/>
  <c r="G82" i="9"/>
  <c r="T82" i="9" s="1"/>
  <c r="F82" i="9"/>
  <c r="E82" i="9"/>
  <c r="J82" i="9" s="1"/>
  <c r="Z81" i="9"/>
  <c r="N81" i="9"/>
  <c r="M81" i="9"/>
  <c r="L81" i="9"/>
  <c r="K81" i="9"/>
  <c r="O81" i="9" s="1"/>
  <c r="I81" i="9"/>
  <c r="V81" i="9" s="1"/>
  <c r="H81" i="9"/>
  <c r="G81" i="9"/>
  <c r="T81" i="9" s="1"/>
  <c r="F81" i="9"/>
  <c r="E81" i="9"/>
  <c r="J81" i="9" s="1"/>
  <c r="Z80" i="9"/>
  <c r="N80" i="9"/>
  <c r="M80" i="9"/>
  <c r="L80" i="9"/>
  <c r="K80" i="9"/>
  <c r="O80" i="9" s="1"/>
  <c r="I80" i="9"/>
  <c r="V80" i="9" s="1"/>
  <c r="H80" i="9"/>
  <c r="G80" i="9"/>
  <c r="T80" i="9" s="1"/>
  <c r="F80" i="9"/>
  <c r="E80" i="9"/>
  <c r="J80" i="9" s="1"/>
  <c r="Z79" i="9"/>
  <c r="N79" i="9"/>
  <c r="M79" i="9"/>
  <c r="L79" i="9"/>
  <c r="K79" i="9"/>
  <c r="O79" i="9" s="1"/>
  <c r="I79" i="9"/>
  <c r="V79" i="9" s="1"/>
  <c r="H79" i="9"/>
  <c r="G79" i="9"/>
  <c r="T79" i="9" s="1"/>
  <c r="F79" i="9"/>
  <c r="E79" i="9"/>
  <c r="J79" i="9" s="1"/>
  <c r="Z78" i="9"/>
  <c r="N78" i="9"/>
  <c r="N85" i="9" s="1"/>
  <c r="M78" i="9"/>
  <c r="M85" i="9" s="1"/>
  <c r="L78" i="9"/>
  <c r="L85" i="9" s="1"/>
  <c r="K78" i="9"/>
  <c r="I78" i="9"/>
  <c r="H78" i="9"/>
  <c r="G78" i="9"/>
  <c r="F78" i="9"/>
  <c r="E78" i="9"/>
  <c r="B78" i="9"/>
  <c r="Z75" i="9"/>
  <c r="N75" i="9"/>
  <c r="M75" i="9"/>
  <c r="L75" i="9"/>
  <c r="K75" i="9"/>
  <c r="O75" i="9" s="1"/>
  <c r="I75" i="9"/>
  <c r="V75" i="9" s="1"/>
  <c r="H75" i="9"/>
  <c r="G75" i="9"/>
  <c r="T75" i="9" s="1"/>
  <c r="F75" i="9"/>
  <c r="E75" i="9"/>
  <c r="J75" i="9" s="1"/>
  <c r="Z74" i="9"/>
  <c r="N74" i="9"/>
  <c r="M74" i="9"/>
  <c r="L74" i="9"/>
  <c r="K74" i="9"/>
  <c r="O74" i="9" s="1"/>
  <c r="I74" i="9"/>
  <c r="V74" i="9" s="1"/>
  <c r="H74" i="9"/>
  <c r="G74" i="9"/>
  <c r="T74" i="9" s="1"/>
  <c r="F74" i="9"/>
  <c r="E74" i="9"/>
  <c r="J74" i="9" s="1"/>
  <c r="Z73" i="9"/>
  <c r="N73" i="9"/>
  <c r="M73" i="9"/>
  <c r="L73" i="9"/>
  <c r="K73" i="9"/>
  <c r="O73" i="9" s="1"/>
  <c r="I73" i="9"/>
  <c r="V73" i="9" s="1"/>
  <c r="H73" i="9"/>
  <c r="G73" i="9"/>
  <c r="T73" i="9" s="1"/>
  <c r="F73" i="9"/>
  <c r="E73" i="9"/>
  <c r="J73" i="9" s="1"/>
  <c r="Z72" i="9"/>
  <c r="N72" i="9"/>
  <c r="M72" i="9"/>
  <c r="L72" i="9"/>
  <c r="K72" i="9"/>
  <c r="O72" i="9" s="1"/>
  <c r="I72" i="9"/>
  <c r="V72" i="9" s="1"/>
  <c r="H72" i="9"/>
  <c r="G72" i="9"/>
  <c r="T72" i="9" s="1"/>
  <c r="F72" i="9"/>
  <c r="E72" i="9"/>
  <c r="J72" i="9" s="1"/>
  <c r="Z71" i="9"/>
  <c r="N71" i="9"/>
  <c r="M71" i="9"/>
  <c r="L71" i="9"/>
  <c r="K71" i="9"/>
  <c r="O71" i="9" s="1"/>
  <c r="I71" i="9"/>
  <c r="V71" i="9" s="1"/>
  <c r="H71" i="9"/>
  <c r="G71" i="9"/>
  <c r="T71" i="9" s="1"/>
  <c r="F71" i="9"/>
  <c r="E71" i="9"/>
  <c r="J71" i="9" s="1"/>
  <c r="Z70" i="9"/>
  <c r="N70" i="9"/>
  <c r="N76" i="9" s="1"/>
  <c r="M70" i="9"/>
  <c r="M76" i="9" s="1"/>
  <c r="L70" i="9"/>
  <c r="L76" i="9" s="1"/>
  <c r="K70" i="9"/>
  <c r="I70" i="9"/>
  <c r="H70" i="9"/>
  <c r="G70" i="9"/>
  <c r="F70" i="9"/>
  <c r="E70" i="9"/>
  <c r="B70" i="9"/>
  <c r="Z67" i="9"/>
  <c r="N67" i="9"/>
  <c r="M67" i="9"/>
  <c r="L67" i="9"/>
  <c r="K67" i="9"/>
  <c r="O67" i="9" s="1"/>
  <c r="I67" i="9"/>
  <c r="V67" i="9" s="1"/>
  <c r="H67" i="9"/>
  <c r="G67" i="9"/>
  <c r="T67" i="9" s="1"/>
  <c r="F67" i="9"/>
  <c r="E67" i="9"/>
  <c r="J67" i="9" s="1"/>
  <c r="Z66" i="9"/>
  <c r="N66" i="9"/>
  <c r="M66" i="9"/>
  <c r="L66" i="9"/>
  <c r="K66" i="9"/>
  <c r="O66" i="9" s="1"/>
  <c r="I66" i="9"/>
  <c r="V66" i="9" s="1"/>
  <c r="H66" i="9"/>
  <c r="G66" i="9"/>
  <c r="T66" i="9" s="1"/>
  <c r="F66" i="9"/>
  <c r="E66" i="9"/>
  <c r="J66" i="9" s="1"/>
  <c r="Z65" i="9"/>
  <c r="N65" i="9"/>
  <c r="M65" i="9"/>
  <c r="L65" i="9"/>
  <c r="K65" i="9"/>
  <c r="O65" i="9" s="1"/>
  <c r="I65" i="9"/>
  <c r="V65" i="9" s="1"/>
  <c r="H65" i="9"/>
  <c r="G65" i="9"/>
  <c r="T65" i="9" s="1"/>
  <c r="F65" i="9"/>
  <c r="E65" i="9"/>
  <c r="J65" i="9" s="1"/>
  <c r="Z64" i="9"/>
  <c r="N64" i="9"/>
  <c r="M64" i="9"/>
  <c r="L64" i="9"/>
  <c r="K64" i="9"/>
  <c r="O64" i="9" s="1"/>
  <c r="I64" i="9"/>
  <c r="V64" i="9" s="1"/>
  <c r="H64" i="9"/>
  <c r="G64" i="9"/>
  <c r="T64" i="9" s="1"/>
  <c r="F64" i="9"/>
  <c r="E64" i="9"/>
  <c r="J64" i="9" s="1"/>
  <c r="Z63" i="9"/>
  <c r="N63" i="9"/>
  <c r="M63" i="9"/>
  <c r="L63" i="9"/>
  <c r="K63" i="9"/>
  <c r="O63" i="9" s="1"/>
  <c r="I63" i="9"/>
  <c r="V63" i="9" s="1"/>
  <c r="H63" i="9"/>
  <c r="G63" i="9"/>
  <c r="T63" i="9" s="1"/>
  <c r="F63" i="9"/>
  <c r="E63" i="9"/>
  <c r="J63" i="9" s="1"/>
  <c r="Z62" i="9"/>
  <c r="N62" i="9"/>
  <c r="N68" i="9" s="1"/>
  <c r="M62" i="9"/>
  <c r="M68" i="9" s="1"/>
  <c r="L62" i="9"/>
  <c r="L68" i="9" s="1"/>
  <c r="K62" i="9"/>
  <c r="I62" i="9"/>
  <c r="H62" i="9"/>
  <c r="G62" i="9"/>
  <c r="F62" i="9"/>
  <c r="E62" i="9"/>
  <c r="B62" i="9"/>
  <c r="Z59" i="9"/>
  <c r="N59" i="9"/>
  <c r="M59" i="9"/>
  <c r="L59" i="9"/>
  <c r="K59" i="9"/>
  <c r="O59" i="9" s="1"/>
  <c r="I59" i="9"/>
  <c r="V59" i="9" s="1"/>
  <c r="H59" i="9"/>
  <c r="G59" i="9"/>
  <c r="T59" i="9" s="1"/>
  <c r="F59" i="9"/>
  <c r="E59" i="9"/>
  <c r="J59" i="9" s="1"/>
  <c r="Z58" i="9"/>
  <c r="N58" i="9"/>
  <c r="M58" i="9"/>
  <c r="L58" i="9"/>
  <c r="K58" i="9"/>
  <c r="O58" i="9" s="1"/>
  <c r="I58" i="9"/>
  <c r="V58" i="9" s="1"/>
  <c r="H58" i="9"/>
  <c r="G58" i="9"/>
  <c r="T58" i="9" s="1"/>
  <c r="F58" i="9"/>
  <c r="E58" i="9"/>
  <c r="J58" i="9" s="1"/>
  <c r="Z57" i="9"/>
  <c r="N57" i="9"/>
  <c r="M57" i="9"/>
  <c r="L57" i="9"/>
  <c r="K57" i="9"/>
  <c r="O57" i="9" s="1"/>
  <c r="I57" i="9"/>
  <c r="V57" i="9" s="1"/>
  <c r="H57" i="9"/>
  <c r="G57" i="9"/>
  <c r="T57" i="9" s="1"/>
  <c r="F57" i="9"/>
  <c r="E57" i="9"/>
  <c r="J57" i="9" s="1"/>
  <c r="Z56" i="9"/>
  <c r="N56" i="9"/>
  <c r="M56" i="9"/>
  <c r="L56" i="9"/>
  <c r="K56" i="9"/>
  <c r="O56" i="9" s="1"/>
  <c r="I56" i="9"/>
  <c r="V56" i="9" s="1"/>
  <c r="H56" i="9"/>
  <c r="G56" i="9"/>
  <c r="T56" i="9" s="1"/>
  <c r="F56" i="9"/>
  <c r="E56" i="9"/>
  <c r="J56" i="9" s="1"/>
  <c r="Z55" i="9"/>
  <c r="N55" i="9"/>
  <c r="M55" i="9"/>
  <c r="L55" i="9"/>
  <c r="K55" i="9"/>
  <c r="O55" i="9" s="1"/>
  <c r="I55" i="9"/>
  <c r="V55" i="9" s="1"/>
  <c r="H55" i="9"/>
  <c r="G55" i="9"/>
  <c r="T55" i="9" s="1"/>
  <c r="F55" i="9"/>
  <c r="E55" i="9"/>
  <c r="J55" i="9" s="1"/>
  <c r="Z54" i="9"/>
  <c r="N54" i="9"/>
  <c r="M54" i="9"/>
  <c r="L54" i="9"/>
  <c r="K54" i="9"/>
  <c r="O54" i="9" s="1"/>
  <c r="I54" i="9"/>
  <c r="V54" i="9" s="1"/>
  <c r="H54" i="9"/>
  <c r="G54" i="9"/>
  <c r="T54" i="9" s="1"/>
  <c r="F54" i="9"/>
  <c r="E54" i="9"/>
  <c r="J54" i="9" s="1"/>
  <c r="Z53" i="9"/>
  <c r="N53" i="9"/>
  <c r="M53" i="9"/>
  <c r="L53" i="9"/>
  <c r="K53" i="9"/>
  <c r="O53" i="9" s="1"/>
  <c r="I53" i="9"/>
  <c r="V53" i="9" s="1"/>
  <c r="H53" i="9"/>
  <c r="G53" i="9"/>
  <c r="T53" i="9" s="1"/>
  <c r="F53" i="9"/>
  <c r="E53" i="9"/>
  <c r="J53" i="9" s="1"/>
  <c r="Z52" i="9"/>
  <c r="N52" i="9"/>
  <c r="M52" i="9"/>
  <c r="L52" i="9"/>
  <c r="K52" i="9"/>
  <c r="O52" i="9" s="1"/>
  <c r="I52" i="9"/>
  <c r="V52" i="9" s="1"/>
  <c r="H52" i="9"/>
  <c r="G52" i="9"/>
  <c r="T52" i="9" s="1"/>
  <c r="F52" i="9"/>
  <c r="E52" i="9"/>
  <c r="J52" i="9" s="1"/>
  <c r="Z51" i="9"/>
  <c r="N51" i="9"/>
  <c r="N60" i="9" s="1"/>
  <c r="M51" i="9"/>
  <c r="M60" i="9" s="1"/>
  <c r="L51" i="9"/>
  <c r="L60" i="9" s="1"/>
  <c r="K51" i="9"/>
  <c r="I51" i="9"/>
  <c r="H51" i="9"/>
  <c r="G51" i="9"/>
  <c r="F51" i="9"/>
  <c r="E51" i="9"/>
  <c r="B51" i="9"/>
  <c r="Z48" i="9"/>
  <c r="N48" i="9"/>
  <c r="M48" i="9"/>
  <c r="L48" i="9"/>
  <c r="K48" i="9"/>
  <c r="O48" i="9" s="1"/>
  <c r="I48" i="9"/>
  <c r="V48" i="9" s="1"/>
  <c r="H48" i="9"/>
  <c r="G48" i="9"/>
  <c r="T48" i="9" s="1"/>
  <c r="F48" i="9"/>
  <c r="E48" i="9"/>
  <c r="J48" i="9" s="1"/>
  <c r="Z47" i="9"/>
  <c r="N47" i="9"/>
  <c r="M47" i="9"/>
  <c r="L47" i="9"/>
  <c r="K47" i="9"/>
  <c r="O47" i="9" s="1"/>
  <c r="I47" i="9"/>
  <c r="V47" i="9" s="1"/>
  <c r="H47" i="9"/>
  <c r="G47" i="9"/>
  <c r="T47" i="9" s="1"/>
  <c r="F47" i="9"/>
  <c r="E47" i="9"/>
  <c r="J47" i="9" s="1"/>
  <c r="Z46" i="9"/>
  <c r="N46" i="9"/>
  <c r="M46" i="9"/>
  <c r="L46" i="9"/>
  <c r="K46" i="9"/>
  <c r="O46" i="9" s="1"/>
  <c r="I46" i="9"/>
  <c r="V46" i="9" s="1"/>
  <c r="H46" i="9"/>
  <c r="G46" i="9"/>
  <c r="T46" i="9" s="1"/>
  <c r="F46" i="9"/>
  <c r="E46" i="9"/>
  <c r="J46" i="9" s="1"/>
  <c r="Z45" i="9"/>
  <c r="N45" i="9"/>
  <c r="M45" i="9"/>
  <c r="L45" i="9"/>
  <c r="K45" i="9"/>
  <c r="O45" i="9" s="1"/>
  <c r="I45" i="9"/>
  <c r="V45" i="9" s="1"/>
  <c r="H45" i="9"/>
  <c r="G45" i="9"/>
  <c r="T45" i="9" s="1"/>
  <c r="F45" i="9"/>
  <c r="E45" i="9"/>
  <c r="J45" i="9" s="1"/>
  <c r="Z44" i="9"/>
  <c r="N44" i="9"/>
  <c r="M44" i="9"/>
  <c r="L44" i="9"/>
  <c r="K44" i="9"/>
  <c r="O44" i="9" s="1"/>
  <c r="I44" i="9"/>
  <c r="V44" i="9" s="1"/>
  <c r="H44" i="9"/>
  <c r="G44" i="9"/>
  <c r="T44" i="9" s="1"/>
  <c r="F44" i="9"/>
  <c r="E44" i="9"/>
  <c r="J44" i="9" s="1"/>
  <c r="Z43" i="9"/>
  <c r="N43" i="9"/>
  <c r="M43" i="9"/>
  <c r="L43" i="9"/>
  <c r="K43" i="9"/>
  <c r="O43" i="9" s="1"/>
  <c r="I43" i="9"/>
  <c r="V43" i="9" s="1"/>
  <c r="H43" i="9"/>
  <c r="G43" i="9"/>
  <c r="T43" i="9" s="1"/>
  <c r="F43" i="9"/>
  <c r="E43" i="9"/>
  <c r="J43" i="9" s="1"/>
  <c r="Z42" i="9"/>
  <c r="N42" i="9"/>
  <c r="M42" i="9"/>
  <c r="L42" i="9"/>
  <c r="K42" i="9"/>
  <c r="O42" i="9" s="1"/>
  <c r="I42" i="9"/>
  <c r="V42" i="9" s="1"/>
  <c r="H42" i="9"/>
  <c r="G42" i="9"/>
  <c r="T42" i="9" s="1"/>
  <c r="F42" i="9"/>
  <c r="E42" i="9"/>
  <c r="J42" i="9" s="1"/>
  <c r="Z41" i="9"/>
  <c r="N41" i="9"/>
  <c r="N49" i="9" s="1"/>
  <c r="M41" i="9"/>
  <c r="M49" i="9" s="1"/>
  <c r="L41" i="9"/>
  <c r="L49" i="9" s="1"/>
  <c r="K41" i="9"/>
  <c r="I41" i="9"/>
  <c r="H41" i="9"/>
  <c r="G41" i="9"/>
  <c r="F41" i="9"/>
  <c r="E41" i="9"/>
  <c r="B41" i="9"/>
  <c r="Z38" i="9"/>
  <c r="N38" i="9"/>
  <c r="M38" i="9"/>
  <c r="L38" i="9"/>
  <c r="K38" i="9"/>
  <c r="O38" i="9" s="1"/>
  <c r="I38" i="9"/>
  <c r="V38" i="9" s="1"/>
  <c r="H38" i="9"/>
  <c r="G38" i="9"/>
  <c r="T38" i="9" s="1"/>
  <c r="F38" i="9"/>
  <c r="E38" i="9"/>
  <c r="J38" i="9" s="1"/>
  <c r="Z37" i="9"/>
  <c r="N37" i="9"/>
  <c r="M37" i="9"/>
  <c r="L37" i="9"/>
  <c r="K37" i="9"/>
  <c r="O37" i="9" s="1"/>
  <c r="I37" i="9"/>
  <c r="V37" i="9" s="1"/>
  <c r="H37" i="9"/>
  <c r="G37" i="9"/>
  <c r="T37" i="9" s="1"/>
  <c r="F37" i="9"/>
  <c r="E37" i="9"/>
  <c r="J37" i="9" s="1"/>
  <c r="Z36" i="9"/>
  <c r="N36" i="9"/>
  <c r="M36" i="9"/>
  <c r="L36" i="9"/>
  <c r="K36" i="9"/>
  <c r="O36" i="9" s="1"/>
  <c r="I36" i="9"/>
  <c r="V36" i="9" s="1"/>
  <c r="H36" i="9"/>
  <c r="G36" i="9"/>
  <c r="T36" i="9" s="1"/>
  <c r="F36" i="9"/>
  <c r="E36" i="9"/>
  <c r="J36" i="9" s="1"/>
  <c r="Z35" i="9"/>
  <c r="N35" i="9"/>
  <c r="M35" i="9"/>
  <c r="L35" i="9"/>
  <c r="K35" i="9"/>
  <c r="O35" i="9" s="1"/>
  <c r="I35" i="9"/>
  <c r="V35" i="9" s="1"/>
  <c r="H35" i="9"/>
  <c r="G35" i="9"/>
  <c r="T35" i="9" s="1"/>
  <c r="F35" i="9"/>
  <c r="E35" i="9"/>
  <c r="J35" i="9" s="1"/>
  <c r="Z34" i="9"/>
  <c r="N34" i="9"/>
  <c r="M34" i="9"/>
  <c r="L34" i="9"/>
  <c r="K34" i="9"/>
  <c r="O34" i="9" s="1"/>
  <c r="I34" i="9"/>
  <c r="V34" i="9" s="1"/>
  <c r="H34" i="9"/>
  <c r="G34" i="9"/>
  <c r="T34" i="9" s="1"/>
  <c r="F34" i="9"/>
  <c r="E34" i="9"/>
  <c r="J34" i="9" s="1"/>
  <c r="Z33" i="9"/>
  <c r="N33" i="9"/>
  <c r="N39" i="9" s="1"/>
  <c r="M33" i="9"/>
  <c r="M39" i="9" s="1"/>
  <c r="L33" i="9"/>
  <c r="L39" i="9" s="1"/>
  <c r="K33" i="9"/>
  <c r="I33" i="9"/>
  <c r="H33" i="9"/>
  <c r="G33" i="9"/>
  <c r="F33" i="9"/>
  <c r="E33" i="9"/>
  <c r="B33" i="9"/>
  <c r="Z30" i="9"/>
  <c r="N30" i="9"/>
  <c r="M30" i="9"/>
  <c r="L30" i="9"/>
  <c r="K30" i="9"/>
  <c r="O30" i="9" s="1"/>
  <c r="I30" i="9"/>
  <c r="V30" i="9" s="1"/>
  <c r="H30" i="9"/>
  <c r="G30" i="9"/>
  <c r="T30" i="9" s="1"/>
  <c r="F30" i="9"/>
  <c r="E30" i="9"/>
  <c r="J30" i="9" s="1"/>
  <c r="Z29" i="9"/>
  <c r="N29" i="9"/>
  <c r="M29" i="9"/>
  <c r="L29" i="9"/>
  <c r="K29" i="9"/>
  <c r="O29" i="9" s="1"/>
  <c r="I29" i="9"/>
  <c r="V29" i="9" s="1"/>
  <c r="H29" i="9"/>
  <c r="G29" i="9"/>
  <c r="T29" i="9" s="1"/>
  <c r="F29" i="9"/>
  <c r="E29" i="9"/>
  <c r="J29" i="9" s="1"/>
  <c r="Z28" i="9"/>
  <c r="N28" i="9"/>
  <c r="M28" i="9"/>
  <c r="L28" i="9"/>
  <c r="K28" i="9"/>
  <c r="O28" i="9" s="1"/>
  <c r="I28" i="9"/>
  <c r="V28" i="9" s="1"/>
  <c r="H28" i="9"/>
  <c r="G28" i="9"/>
  <c r="T28" i="9" s="1"/>
  <c r="F28" i="9"/>
  <c r="E28" i="9"/>
  <c r="J28" i="9" s="1"/>
  <c r="Z27" i="9"/>
  <c r="N27" i="9"/>
  <c r="M27" i="9"/>
  <c r="L27" i="9"/>
  <c r="K27" i="9"/>
  <c r="O27" i="9" s="1"/>
  <c r="I27" i="9"/>
  <c r="V27" i="9" s="1"/>
  <c r="H27" i="9"/>
  <c r="G27" i="9"/>
  <c r="T27" i="9" s="1"/>
  <c r="F27" i="9"/>
  <c r="E27" i="9"/>
  <c r="J27" i="9" s="1"/>
  <c r="Z26" i="9"/>
  <c r="N26" i="9"/>
  <c r="N31" i="9" s="1"/>
  <c r="M26" i="9"/>
  <c r="M31" i="9" s="1"/>
  <c r="L26" i="9"/>
  <c r="L31" i="9" s="1"/>
  <c r="K26" i="9"/>
  <c r="I26" i="9"/>
  <c r="H26" i="9"/>
  <c r="G26" i="9"/>
  <c r="F26" i="9"/>
  <c r="E26" i="9"/>
  <c r="B26" i="9"/>
  <c r="Z23" i="9"/>
  <c r="N23" i="9"/>
  <c r="M23" i="9"/>
  <c r="L23" i="9"/>
  <c r="K23" i="9"/>
  <c r="O23" i="9" s="1"/>
  <c r="I23" i="9"/>
  <c r="V23" i="9" s="1"/>
  <c r="H23" i="9"/>
  <c r="G23" i="9"/>
  <c r="T23" i="9" s="1"/>
  <c r="F23" i="9"/>
  <c r="E23" i="9"/>
  <c r="J23" i="9" s="1"/>
  <c r="Z22" i="9"/>
  <c r="N22" i="9"/>
  <c r="M22" i="9"/>
  <c r="L22" i="9"/>
  <c r="K22" i="9"/>
  <c r="O22" i="9" s="1"/>
  <c r="I22" i="9"/>
  <c r="V22" i="9" s="1"/>
  <c r="H22" i="9"/>
  <c r="G22" i="9"/>
  <c r="T22" i="9" s="1"/>
  <c r="F22" i="9"/>
  <c r="E22" i="9"/>
  <c r="J22" i="9" s="1"/>
  <c r="Z21" i="9"/>
  <c r="N21" i="9"/>
  <c r="M21" i="9"/>
  <c r="L21" i="9"/>
  <c r="K21" i="9"/>
  <c r="O21" i="9" s="1"/>
  <c r="I21" i="9"/>
  <c r="V21" i="9" s="1"/>
  <c r="H21" i="9"/>
  <c r="G21" i="9"/>
  <c r="T21" i="9" s="1"/>
  <c r="F21" i="9"/>
  <c r="E21" i="9"/>
  <c r="J21" i="9" s="1"/>
  <c r="Z20" i="9"/>
  <c r="N20" i="9"/>
  <c r="M20" i="9"/>
  <c r="L20" i="9"/>
  <c r="K20" i="9"/>
  <c r="O20" i="9" s="1"/>
  <c r="I20" i="9"/>
  <c r="V20" i="9" s="1"/>
  <c r="H20" i="9"/>
  <c r="G20" i="9"/>
  <c r="T20" i="9" s="1"/>
  <c r="F20" i="9"/>
  <c r="E20" i="9"/>
  <c r="J20" i="9" s="1"/>
  <c r="Z19" i="9"/>
  <c r="N19" i="9"/>
  <c r="N24" i="9" s="1"/>
  <c r="M19" i="9"/>
  <c r="M24" i="9" s="1"/>
  <c r="L19" i="9"/>
  <c r="L24" i="9" s="1"/>
  <c r="K19" i="9"/>
  <c r="I19" i="9"/>
  <c r="H19" i="9"/>
  <c r="G19" i="9"/>
  <c r="F19" i="9"/>
  <c r="E19" i="9"/>
  <c r="B19" i="9"/>
  <c r="Z16" i="9"/>
  <c r="N16" i="9"/>
  <c r="M16" i="9"/>
  <c r="L16" i="9"/>
  <c r="K16" i="9"/>
  <c r="O16" i="9" s="1"/>
  <c r="I16" i="9"/>
  <c r="V16" i="9" s="1"/>
  <c r="H16" i="9"/>
  <c r="G16" i="9"/>
  <c r="T16" i="9" s="1"/>
  <c r="F16" i="9"/>
  <c r="E16" i="9"/>
  <c r="J16" i="9" s="1"/>
  <c r="Z15" i="9"/>
  <c r="N15" i="9"/>
  <c r="M15" i="9"/>
  <c r="L15" i="9"/>
  <c r="K15" i="9"/>
  <c r="O15" i="9" s="1"/>
  <c r="I15" i="9"/>
  <c r="V15" i="9" s="1"/>
  <c r="H15" i="9"/>
  <c r="G15" i="9"/>
  <c r="T15" i="9" s="1"/>
  <c r="F15" i="9"/>
  <c r="E15" i="9"/>
  <c r="J15" i="9" s="1"/>
  <c r="Z14" i="9"/>
  <c r="N14" i="9"/>
  <c r="M14" i="9"/>
  <c r="L14" i="9"/>
  <c r="K14" i="9"/>
  <c r="O14" i="9" s="1"/>
  <c r="I14" i="9"/>
  <c r="V14" i="9" s="1"/>
  <c r="H14" i="9"/>
  <c r="G14" i="9"/>
  <c r="T14" i="9" s="1"/>
  <c r="F14" i="9"/>
  <c r="E14" i="9"/>
  <c r="J14" i="9" s="1"/>
  <c r="Z13" i="9"/>
  <c r="N13" i="9"/>
  <c r="M13" i="9"/>
  <c r="L13" i="9"/>
  <c r="K13" i="9"/>
  <c r="O13" i="9" s="1"/>
  <c r="I13" i="9"/>
  <c r="V13" i="9" s="1"/>
  <c r="H13" i="9"/>
  <c r="G13" i="9"/>
  <c r="T13" i="9" s="1"/>
  <c r="F13" i="9"/>
  <c r="E13" i="9"/>
  <c r="J13" i="9" s="1"/>
  <c r="Z12" i="9"/>
  <c r="N12" i="9"/>
  <c r="M12" i="9"/>
  <c r="L12" i="9"/>
  <c r="K12" i="9"/>
  <c r="O12" i="9" s="1"/>
  <c r="I12" i="9"/>
  <c r="V12" i="9" s="1"/>
  <c r="H12" i="9"/>
  <c r="G12" i="9"/>
  <c r="T12" i="9" s="1"/>
  <c r="F12" i="9"/>
  <c r="E12" i="9"/>
  <c r="J12" i="9" s="1"/>
  <c r="Z11" i="9"/>
  <c r="N11" i="9"/>
  <c r="M11" i="9"/>
  <c r="L11" i="9"/>
  <c r="K11" i="9"/>
  <c r="O11" i="9" s="1"/>
  <c r="I11" i="9"/>
  <c r="V11" i="9" s="1"/>
  <c r="H11" i="9"/>
  <c r="G11" i="9"/>
  <c r="T11" i="9" s="1"/>
  <c r="F11" i="9"/>
  <c r="E11" i="9"/>
  <c r="J11" i="9" s="1"/>
  <c r="Z10" i="9"/>
  <c r="N10" i="9"/>
  <c r="N17" i="9" s="1"/>
  <c r="M10" i="9"/>
  <c r="M17" i="9" s="1"/>
  <c r="L10" i="9"/>
  <c r="L17" i="9" s="1"/>
  <c r="K10" i="9"/>
  <c r="I10" i="9"/>
  <c r="H10" i="9"/>
  <c r="G10" i="9"/>
  <c r="F10" i="9"/>
  <c r="E10" i="9"/>
  <c r="B10" i="9"/>
  <c r="Z7" i="9"/>
  <c r="N7" i="9"/>
  <c r="M7" i="9"/>
  <c r="L7" i="9"/>
  <c r="K7" i="9"/>
  <c r="O7" i="9" s="1"/>
  <c r="I7" i="9"/>
  <c r="V7" i="9" s="1"/>
  <c r="H7" i="9"/>
  <c r="G7" i="9"/>
  <c r="T7" i="9" s="1"/>
  <c r="F7" i="9"/>
  <c r="E7" i="9"/>
  <c r="J7" i="9" s="1"/>
  <c r="Z6" i="9"/>
  <c r="N6" i="9"/>
  <c r="M6" i="9"/>
  <c r="L6" i="9"/>
  <c r="K6" i="9"/>
  <c r="O6" i="9" s="1"/>
  <c r="I6" i="9"/>
  <c r="V6" i="9" s="1"/>
  <c r="H6" i="9"/>
  <c r="G6" i="9"/>
  <c r="T6" i="9" s="1"/>
  <c r="F6" i="9"/>
  <c r="E6" i="9"/>
  <c r="J6" i="9" s="1"/>
  <c r="Z5" i="9"/>
  <c r="N5" i="9"/>
  <c r="M5" i="9"/>
  <c r="L5" i="9"/>
  <c r="K5" i="9"/>
  <c r="O5" i="9" s="1"/>
  <c r="I5" i="9"/>
  <c r="V5" i="9" s="1"/>
  <c r="H5" i="9"/>
  <c r="G5" i="9"/>
  <c r="T5" i="9" s="1"/>
  <c r="F5" i="9"/>
  <c r="E5" i="9"/>
  <c r="J5" i="9" s="1"/>
  <c r="Z4" i="9"/>
  <c r="N4" i="9"/>
  <c r="M4" i="9"/>
  <c r="L4" i="9"/>
  <c r="K4" i="9"/>
  <c r="O4" i="9" s="1"/>
  <c r="I4" i="9"/>
  <c r="V4" i="9" s="1"/>
  <c r="H4" i="9"/>
  <c r="G4" i="9"/>
  <c r="T4" i="9" s="1"/>
  <c r="F4" i="9"/>
  <c r="E4" i="9"/>
  <c r="J4" i="9" s="1"/>
  <c r="Z3" i="9"/>
  <c r="N3" i="9"/>
  <c r="N8" i="9" s="1"/>
  <c r="M3" i="9"/>
  <c r="M8" i="9" s="1"/>
  <c r="L3" i="9"/>
  <c r="L8" i="9" s="1"/>
  <c r="K3" i="9"/>
  <c r="I3" i="9"/>
  <c r="H3" i="9"/>
  <c r="G3" i="9"/>
  <c r="F3" i="9"/>
  <c r="E3" i="9"/>
  <c r="B3" i="9"/>
  <c r="B37" i="8"/>
  <c r="B36" i="8"/>
  <c r="B35" i="8"/>
  <c r="B34" i="8"/>
  <c r="B33" i="8"/>
  <c r="B32" i="8"/>
  <c r="B31" i="8"/>
  <c r="B30" i="8"/>
  <c r="B29" i="8"/>
  <c r="B24" i="8"/>
  <c r="B23" i="8"/>
  <c r="B22" i="8"/>
  <c r="B21" i="8"/>
  <c r="B20" i="8"/>
  <c r="B19" i="8"/>
  <c r="B18" i="8"/>
  <c r="B17" i="8"/>
  <c r="B16" i="8"/>
  <c r="B15" i="8"/>
  <c r="B9" i="8"/>
  <c r="B26" i="7"/>
  <c r="B25" i="7"/>
  <c r="B24" i="7"/>
  <c r="B23" i="7"/>
  <c r="B22" i="7"/>
  <c r="B21" i="7"/>
  <c r="B20" i="7"/>
  <c r="B19" i="7"/>
  <c r="B18" i="7"/>
  <c r="B14" i="7"/>
  <c r="B13" i="7"/>
  <c r="B12" i="7"/>
  <c r="B11" i="7"/>
  <c r="B10" i="7"/>
  <c r="B9" i="7"/>
  <c r="B8" i="7"/>
  <c r="B7" i="7"/>
  <c r="B6" i="7"/>
  <c r="B5" i="7"/>
  <c r="B145" i="6"/>
  <c r="B141" i="6"/>
  <c r="B135" i="6"/>
  <c r="B127" i="6"/>
  <c r="B118" i="6"/>
  <c r="B112" i="6"/>
  <c r="B105" i="6"/>
  <c r="B95" i="6"/>
  <c r="B87" i="6"/>
  <c r="B78" i="6"/>
  <c r="B70" i="6"/>
  <c r="B62" i="6"/>
  <c r="B51" i="6"/>
  <c r="B41" i="6"/>
  <c r="B33" i="6"/>
  <c r="B26" i="6"/>
  <c r="B19" i="6"/>
  <c r="B10" i="6"/>
  <c r="B3" i="6"/>
  <c r="C114" i="5"/>
  <c r="C113" i="5"/>
  <c r="C111" i="5"/>
  <c r="C109" i="5"/>
  <c r="C108" i="5"/>
  <c r="C107" i="5"/>
  <c r="C106" i="5"/>
  <c r="B106" i="5"/>
  <c r="C104" i="5"/>
  <c r="C103" i="5"/>
  <c r="C100" i="5"/>
  <c r="C98" i="5"/>
  <c r="C97" i="5"/>
  <c r="C95" i="5"/>
  <c r="B95" i="5"/>
  <c r="C93" i="5"/>
  <c r="C92" i="5"/>
  <c r="C90" i="5"/>
  <c r="C88" i="5"/>
  <c r="C86" i="5"/>
  <c r="C83" i="5"/>
  <c r="B83" i="5"/>
  <c r="C81" i="5"/>
  <c r="C80" i="5"/>
  <c r="C79" i="5"/>
  <c r="C77" i="5"/>
  <c r="C76" i="5"/>
  <c r="C74" i="5"/>
  <c r="C72" i="5"/>
  <c r="C70" i="5"/>
  <c r="C69" i="5"/>
  <c r="B69" i="5"/>
  <c r="C66" i="5"/>
  <c r="C65" i="5"/>
  <c r="C63" i="5"/>
  <c r="C61" i="5"/>
  <c r="C59" i="5"/>
  <c r="C58" i="5"/>
  <c r="C56" i="5"/>
  <c r="C55" i="5"/>
  <c r="B55" i="5"/>
  <c r="C53" i="5"/>
  <c r="C52" i="5"/>
  <c r="C51" i="5"/>
  <c r="C49" i="5"/>
  <c r="C47" i="5"/>
  <c r="C45" i="5"/>
  <c r="B45" i="5"/>
  <c r="C43" i="5"/>
  <c r="C42" i="5"/>
  <c r="C41" i="5"/>
  <c r="C40" i="5"/>
  <c r="C39" i="5"/>
  <c r="B39" i="5"/>
  <c r="C35" i="5"/>
  <c r="C32" i="5"/>
  <c r="C31" i="5"/>
  <c r="C29" i="5"/>
  <c r="C27" i="5"/>
  <c r="B27" i="5"/>
  <c r="C24" i="5"/>
  <c r="C22" i="5"/>
  <c r="C21" i="5"/>
  <c r="C18" i="5"/>
  <c r="C16" i="5"/>
  <c r="C14" i="5"/>
  <c r="C12" i="5"/>
  <c r="B12" i="5"/>
  <c r="C9" i="5"/>
  <c r="C8" i="5"/>
  <c r="C7" i="5"/>
  <c r="C6" i="5"/>
  <c r="C4" i="5"/>
  <c r="B4" i="5"/>
  <c r="B14" i="4"/>
  <c r="B13" i="4"/>
  <c r="B12" i="4"/>
  <c r="B11" i="4"/>
  <c r="B10" i="4"/>
  <c r="B9" i="4"/>
  <c r="B8" i="4"/>
  <c r="B7" i="4"/>
  <c r="B6" i="4"/>
  <c r="B5" i="4"/>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P154" i="2"/>
  <c r="P153" i="2"/>
  <c r="P152" i="2"/>
  <c r="P151" i="2"/>
  <c r="P148" i="2"/>
  <c r="P147" i="2"/>
  <c r="P144" i="2"/>
  <c r="P143" i="2"/>
  <c r="P142" i="2"/>
  <c r="P141" i="2"/>
  <c r="P138" i="2"/>
  <c r="P137" i="2"/>
  <c r="P136" i="2"/>
  <c r="P135" i="2"/>
  <c r="P134" i="2"/>
  <c r="P133" i="2"/>
  <c r="P130" i="2"/>
  <c r="P129" i="2"/>
  <c r="P128" i="2"/>
  <c r="P127" i="2"/>
  <c r="P126" i="2"/>
  <c r="P125" i="2"/>
  <c r="P124" i="2"/>
  <c r="P121" i="2"/>
  <c r="P120" i="2"/>
  <c r="P119" i="2"/>
  <c r="P118" i="2"/>
  <c r="P115" i="2"/>
  <c r="P114" i="2"/>
  <c r="P113" i="2"/>
  <c r="P112" i="2"/>
  <c r="P111" i="2"/>
  <c r="P108" i="2"/>
  <c r="P107" i="2"/>
  <c r="P106" i="2"/>
  <c r="P105" i="2"/>
  <c r="P104" i="2"/>
  <c r="P103" i="2"/>
  <c r="P102" i="2"/>
  <c r="P101" i="2"/>
  <c r="P98" i="2"/>
  <c r="P97" i="2"/>
  <c r="P96" i="2"/>
  <c r="P95" i="2"/>
  <c r="P94" i="2"/>
  <c r="P93" i="2"/>
  <c r="P89" i="2"/>
  <c r="P88" i="2"/>
  <c r="P87" i="2"/>
  <c r="P86" i="2"/>
  <c r="P85" i="2"/>
  <c r="P84" i="2"/>
  <c r="P83" i="2"/>
  <c r="P79" i="2"/>
  <c r="P78" i="2"/>
  <c r="P77" i="2"/>
  <c r="P76" i="2"/>
  <c r="P75" i="2"/>
  <c r="P74" i="2"/>
  <c r="P71" i="2"/>
  <c r="P70" i="2"/>
  <c r="P69" i="2"/>
  <c r="P68" i="2"/>
  <c r="P67" i="2"/>
  <c r="P66" i="2"/>
  <c r="P63" i="2"/>
  <c r="P62" i="2"/>
  <c r="P61" i="2"/>
  <c r="P60" i="2"/>
  <c r="P59" i="2"/>
  <c r="P58" i="2"/>
  <c r="P57" i="2"/>
  <c r="P56" i="2"/>
  <c r="P55" i="2"/>
  <c r="P52" i="2"/>
  <c r="P51" i="2"/>
  <c r="P50" i="2"/>
  <c r="P49" i="2"/>
  <c r="P48" i="2"/>
  <c r="P47" i="2"/>
  <c r="P46" i="2"/>
  <c r="P45" i="2"/>
  <c r="P41" i="2"/>
  <c r="P40" i="2"/>
  <c r="P39" i="2"/>
  <c r="P38" i="2"/>
  <c r="P37" i="2"/>
  <c r="P36" i="2"/>
  <c r="P33" i="2"/>
  <c r="P32" i="2"/>
  <c r="P31" i="2"/>
  <c r="P30" i="2"/>
  <c r="P29" i="2"/>
  <c r="P26" i="2"/>
  <c r="P25" i="2"/>
  <c r="P24" i="2"/>
  <c r="P23" i="2"/>
  <c r="P22" i="2"/>
  <c r="P19" i="2"/>
  <c r="P18" i="2"/>
  <c r="P17" i="2"/>
  <c r="P16" i="2"/>
  <c r="P15" i="2"/>
  <c r="P14" i="2"/>
  <c r="P13" i="2"/>
  <c r="P10" i="2"/>
  <c r="P9" i="2"/>
  <c r="P8" i="2"/>
  <c r="P7" i="2"/>
  <c r="P6" i="2"/>
  <c r="T148" i="11" l="1"/>
  <c r="T147" i="11"/>
  <c r="T146" i="11"/>
  <c r="K149" i="11"/>
  <c r="O145" i="11"/>
  <c r="O149" i="11" s="1"/>
  <c r="E149" i="11"/>
  <c r="J145" i="11"/>
  <c r="T142" i="11"/>
  <c r="O141" i="11"/>
  <c r="O143" i="11" s="1"/>
  <c r="K143" i="11"/>
  <c r="E143" i="11"/>
  <c r="J141" i="11"/>
  <c r="T138" i="11"/>
  <c r="T137" i="11"/>
  <c r="T136" i="11"/>
  <c r="K139" i="11"/>
  <c r="O135" i="11"/>
  <c r="O139" i="11" s="1"/>
  <c r="J135" i="11"/>
  <c r="E139" i="11"/>
  <c r="T132" i="11"/>
  <c r="T131" i="11"/>
  <c r="T130" i="11"/>
  <c r="T129" i="11"/>
  <c r="T128" i="11"/>
  <c r="K133" i="11"/>
  <c r="O127" i="11"/>
  <c r="O133" i="11" s="1"/>
  <c r="J127" i="11"/>
  <c r="E133" i="11"/>
  <c r="T124" i="11"/>
  <c r="T123" i="11"/>
  <c r="T122" i="11"/>
  <c r="T121" i="11"/>
  <c r="T120" i="11"/>
  <c r="T119" i="11"/>
  <c r="K125" i="11"/>
  <c r="O118" i="11"/>
  <c r="O125" i="11" s="1"/>
  <c r="J118" i="11"/>
  <c r="E125" i="11"/>
  <c r="T115" i="11"/>
  <c r="T114" i="11"/>
  <c r="T113" i="11"/>
  <c r="K116" i="11"/>
  <c r="O112" i="11"/>
  <c r="O116" i="11" s="1"/>
  <c r="E116" i="11"/>
  <c r="J112" i="11"/>
  <c r="T109" i="11"/>
  <c r="T108" i="11"/>
  <c r="T107" i="11"/>
  <c r="T106" i="11"/>
  <c r="O105" i="11"/>
  <c r="O110" i="11" s="1"/>
  <c r="K110" i="11"/>
  <c r="J105" i="11"/>
  <c r="E110" i="11"/>
  <c r="T102" i="11"/>
  <c r="T101" i="11"/>
  <c r="T100" i="11"/>
  <c r="T99" i="11"/>
  <c r="T98" i="11"/>
  <c r="T97" i="11"/>
  <c r="T96" i="11"/>
  <c r="K103" i="11"/>
  <c r="O95" i="11"/>
  <c r="O103" i="11" s="1"/>
  <c r="E103" i="11"/>
  <c r="J95" i="11"/>
  <c r="T92" i="11"/>
  <c r="T91" i="11"/>
  <c r="T90" i="11"/>
  <c r="T89" i="11"/>
  <c r="T88" i="11"/>
  <c r="O87" i="11"/>
  <c r="O93" i="11" s="1"/>
  <c r="K93" i="11"/>
  <c r="J87" i="11"/>
  <c r="E93" i="11"/>
  <c r="T84" i="11"/>
  <c r="T83" i="11"/>
  <c r="T82" i="11"/>
  <c r="T81" i="11"/>
  <c r="T80" i="11"/>
  <c r="T79" i="11"/>
  <c r="O78" i="11"/>
  <c r="O85" i="11" s="1"/>
  <c r="K85" i="11"/>
  <c r="J78" i="11"/>
  <c r="E85" i="11"/>
  <c r="T75" i="11"/>
  <c r="T74" i="11"/>
  <c r="T73" i="11"/>
  <c r="T72" i="11"/>
  <c r="T71" i="11"/>
  <c r="O70" i="11"/>
  <c r="O76" i="11" s="1"/>
  <c r="K76" i="11"/>
  <c r="J70" i="11"/>
  <c r="E76" i="11"/>
  <c r="T67" i="11"/>
  <c r="T66" i="11"/>
  <c r="T65" i="11"/>
  <c r="T64" i="11"/>
  <c r="T63" i="11"/>
  <c r="O62" i="11"/>
  <c r="O68" i="11" s="1"/>
  <c r="K68" i="11"/>
  <c r="J62" i="11"/>
  <c r="E68" i="11"/>
  <c r="T59" i="11"/>
  <c r="T58" i="11"/>
  <c r="T57" i="11"/>
  <c r="T56" i="11"/>
  <c r="T55" i="11"/>
  <c r="T54" i="11"/>
  <c r="T53" i="11"/>
  <c r="T52" i="11"/>
  <c r="O51" i="11"/>
  <c r="O60" i="11" s="1"/>
  <c r="K60" i="11"/>
  <c r="E60" i="11"/>
  <c r="J51" i="11"/>
  <c r="T48" i="11"/>
  <c r="T47" i="11"/>
  <c r="T46" i="11"/>
  <c r="T45" i="11"/>
  <c r="T44" i="11"/>
  <c r="T43" i="11"/>
  <c r="T42" i="11"/>
  <c r="O41" i="11"/>
  <c r="O49" i="11" s="1"/>
  <c r="K49" i="11"/>
  <c r="J41" i="11"/>
  <c r="E49" i="11"/>
  <c r="T38" i="11"/>
  <c r="T37" i="11"/>
  <c r="T36" i="11"/>
  <c r="T35" i="11"/>
  <c r="T34" i="11"/>
  <c r="K39" i="11"/>
  <c r="O33" i="11"/>
  <c r="O39" i="11" s="1"/>
  <c r="E39" i="11"/>
  <c r="J33" i="11"/>
  <c r="T30" i="11"/>
  <c r="T29" i="11"/>
  <c r="T28" i="11"/>
  <c r="T27" i="11"/>
  <c r="K31" i="11"/>
  <c r="O26" i="11"/>
  <c r="O31" i="11" s="1"/>
  <c r="E31" i="11"/>
  <c r="J26" i="11"/>
  <c r="T23" i="11"/>
  <c r="T22" i="11"/>
  <c r="T21" i="11"/>
  <c r="T20" i="11"/>
  <c r="K24" i="11"/>
  <c r="O19" i="11"/>
  <c r="O24" i="11" s="1"/>
  <c r="E24" i="11"/>
  <c r="J19" i="11"/>
  <c r="T16" i="11"/>
  <c r="T15" i="11"/>
  <c r="T14" i="11"/>
  <c r="T13" i="11"/>
  <c r="T12" i="11"/>
  <c r="E17" i="11"/>
  <c r="J11" i="11"/>
  <c r="O10" i="11"/>
  <c r="O17" i="11" s="1"/>
  <c r="K17" i="11"/>
  <c r="J10" i="11"/>
  <c r="I17" i="11"/>
  <c r="T7" i="11"/>
  <c r="T6" i="11"/>
  <c r="T5" i="11"/>
  <c r="T4" i="11"/>
  <c r="K8" i="11"/>
  <c r="O3" i="11"/>
  <c r="O8" i="11" s="1"/>
  <c r="E8" i="11"/>
  <c r="J3" i="11"/>
  <c r="U148" i="9"/>
  <c r="D148" i="6"/>
  <c r="E148" i="6"/>
  <c r="S148" i="9"/>
  <c r="W148" i="9" s="1"/>
  <c r="U147" i="9"/>
  <c r="D147" i="6"/>
  <c r="E147" i="6"/>
  <c r="S147" i="9"/>
  <c r="W147" i="9" s="1"/>
  <c r="U146" i="9"/>
  <c r="D146" i="6"/>
  <c r="S146" i="9"/>
  <c r="W146" i="9" s="1"/>
  <c r="E146" i="6"/>
  <c r="O145" i="9"/>
  <c r="O149" i="9" s="1"/>
  <c r="K149" i="9"/>
  <c r="I149" i="9"/>
  <c r="V145" i="9"/>
  <c r="D145" i="6"/>
  <c r="H149" i="9"/>
  <c r="F26" i="7" s="1"/>
  <c r="U145" i="9"/>
  <c r="T145" i="9"/>
  <c r="G149" i="9"/>
  <c r="S145" i="9"/>
  <c r="W145" i="9" s="1"/>
  <c r="E145" i="6"/>
  <c r="F149" i="9"/>
  <c r="G26" i="7" s="1"/>
  <c r="E149" i="9"/>
  <c r="J145" i="9"/>
  <c r="D142" i="6"/>
  <c r="U142" i="9"/>
  <c r="E142" i="6"/>
  <c r="S142" i="9"/>
  <c r="W142" i="9" s="1"/>
  <c r="O141" i="9"/>
  <c r="O143" i="9" s="1"/>
  <c r="K143" i="9"/>
  <c r="I143" i="9"/>
  <c r="V141" i="9"/>
  <c r="U141" i="9"/>
  <c r="H143" i="9"/>
  <c r="F25" i="7" s="1"/>
  <c r="D141" i="6"/>
  <c r="T141" i="9"/>
  <c r="G143" i="9"/>
  <c r="S141" i="9"/>
  <c r="W141" i="9" s="1"/>
  <c r="F143" i="9"/>
  <c r="G25" i="7" s="1"/>
  <c r="E141" i="6"/>
  <c r="J141" i="9"/>
  <c r="E143" i="9"/>
  <c r="D138" i="6"/>
  <c r="U138" i="9"/>
  <c r="E138" i="6"/>
  <c r="S138" i="9"/>
  <c r="W138" i="9" s="1"/>
  <c r="U137" i="9"/>
  <c r="D137" i="6"/>
  <c r="E137" i="6"/>
  <c r="S137" i="9"/>
  <c r="W137" i="9" s="1"/>
  <c r="D136" i="6"/>
  <c r="U136" i="9"/>
  <c r="E136" i="6"/>
  <c r="S136" i="9"/>
  <c r="W136" i="9" s="1"/>
  <c r="O135" i="9"/>
  <c r="O139" i="9" s="1"/>
  <c r="K139" i="9"/>
  <c r="I139" i="9"/>
  <c r="V135" i="9"/>
  <c r="U135" i="9"/>
  <c r="D135" i="6"/>
  <c r="H139" i="9"/>
  <c r="F24" i="7" s="1"/>
  <c r="T135" i="9"/>
  <c r="G139" i="9"/>
  <c r="S135" i="9"/>
  <c r="W135" i="9" s="1"/>
  <c r="F139" i="9"/>
  <c r="G24" i="7" s="1"/>
  <c r="E135" i="6"/>
  <c r="J135" i="9"/>
  <c r="E139" i="9"/>
  <c r="U132" i="9"/>
  <c r="D132" i="6"/>
  <c r="E132" i="6"/>
  <c r="S132" i="9"/>
  <c r="W132" i="9" s="1"/>
  <c r="D131" i="6"/>
  <c r="U131" i="9"/>
  <c r="E131" i="6"/>
  <c r="S131" i="9"/>
  <c r="W131" i="9" s="1"/>
  <c r="U130" i="9"/>
  <c r="D130" i="6"/>
  <c r="E130" i="6"/>
  <c r="S130" i="9"/>
  <c r="W130" i="9" s="1"/>
  <c r="D129" i="6"/>
  <c r="U129" i="9"/>
  <c r="E129" i="6"/>
  <c r="S129" i="9"/>
  <c r="W129" i="9" s="1"/>
  <c r="D128" i="6"/>
  <c r="U128" i="9"/>
  <c r="S128" i="9"/>
  <c r="W128" i="9" s="1"/>
  <c r="E128" i="6"/>
  <c r="O127" i="9"/>
  <c r="O133" i="9" s="1"/>
  <c r="K133" i="9"/>
  <c r="I133" i="9"/>
  <c r="V127" i="9"/>
  <c r="U127" i="9"/>
  <c r="D127" i="6"/>
  <c r="H133" i="9"/>
  <c r="F23" i="7" s="1"/>
  <c r="G133" i="9"/>
  <c r="T127" i="9"/>
  <c r="F133" i="9"/>
  <c r="G23" i="7" s="1"/>
  <c r="E127" i="6"/>
  <c r="S127" i="9"/>
  <c r="W127" i="9" s="1"/>
  <c r="E133" i="9"/>
  <c r="J127" i="9"/>
  <c r="D124" i="6"/>
  <c r="U124" i="9"/>
  <c r="E124" i="6"/>
  <c r="S124" i="9"/>
  <c r="W124" i="9" s="1"/>
  <c r="D123" i="6"/>
  <c r="U123" i="9"/>
  <c r="S123" i="9"/>
  <c r="W123" i="9" s="1"/>
  <c r="E123" i="6"/>
  <c r="U122" i="9"/>
  <c r="D122" i="6"/>
  <c r="E122" i="6"/>
  <c r="S122" i="9"/>
  <c r="W122" i="9" s="1"/>
  <c r="D121" i="6"/>
  <c r="U121" i="9"/>
  <c r="E121" i="6"/>
  <c r="S121" i="9"/>
  <c r="W121" i="9" s="1"/>
  <c r="U120" i="9"/>
  <c r="D120" i="6"/>
  <c r="S120" i="9"/>
  <c r="W120" i="9" s="1"/>
  <c r="E120" i="6"/>
  <c r="U119" i="9"/>
  <c r="D119" i="6"/>
  <c r="S119" i="9"/>
  <c r="W119" i="9" s="1"/>
  <c r="E119" i="6"/>
  <c r="O118" i="9"/>
  <c r="O125" i="9" s="1"/>
  <c r="K125" i="9"/>
  <c r="V118" i="9"/>
  <c r="I125" i="9"/>
  <c r="U118" i="9"/>
  <c r="H125" i="9"/>
  <c r="F22" i="7" s="1"/>
  <c r="D118" i="6"/>
  <c r="T118" i="9"/>
  <c r="G125" i="9"/>
  <c r="S118" i="9"/>
  <c r="W118" i="9" s="1"/>
  <c r="F125" i="9"/>
  <c r="G22" i="7" s="1"/>
  <c r="E118" i="6"/>
  <c r="J118" i="9"/>
  <c r="E125" i="9"/>
  <c r="D115" i="6"/>
  <c r="U115" i="9"/>
  <c r="S115" i="9"/>
  <c r="W115" i="9" s="1"/>
  <c r="E115" i="6"/>
  <c r="D114" i="6"/>
  <c r="U114" i="9"/>
  <c r="E114" i="6"/>
  <c r="S114" i="9"/>
  <c r="W114" i="9" s="1"/>
  <c r="D113" i="6"/>
  <c r="U113" i="9"/>
  <c r="E113" i="6"/>
  <c r="S113" i="9"/>
  <c r="W113" i="9" s="1"/>
  <c r="K116" i="9"/>
  <c r="O112" i="9"/>
  <c r="O116" i="9" s="1"/>
  <c r="I116" i="9"/>
  <c r="V112" i="9"/>
  <c r="U112" i="9"/>
  <c r="D112" i="6"/>
  <c r="H116" i="9"/>
  <c r="F21" i="7" s="1"/>
  <c r="T112" i="9"/>
  <c r="G116" i="9"/>
  <c r="E112" i="6"/>
  <c r="F116" i="9"/>
  <c r="G21" i="7" s="1"/>
  <c r="S112" i="9"/>
  <c r="W112" i="9" s="1"/>
  <c r="E116" i="9"/>
  <c r="J112" i="9"/>
  <c r="U109" i="9"/>
  <c r="D109" i="6"/>
  <c r="S109" i="9"/>
  <c r="W109" i="9" s="1"/>
  <c r="E109" i="6"/>
  <c r="U108" i="9"/>
  <c r="D108" i="6"/>
  <c r="S108" i="9"/>
  <c r="W108" i="9" s="1"/>
  <c r="E108" i="6"/>
  <c r="D107" i="6"/>
  <c r="U107" i="9"/>
  <c r="E107" i="6"/>
  <c r="S107" i="9"/>
  <c r="W107" i="9" s="1"/>
  <c r="D106" i="6"/>
  <c r="U106" i="9"/>
  <c r="E106" i="6"/>
  <c r="S106" i="9"/>
  <c r="W106" i="9" s="1"/>
  <c r="K110" i="9"/>
  <c r="O105" i="9"/>
  <c r="O110" i="9" s="1"/>
  <c r="V105" i="9"/>
  <c r="I110" i="9"/>
  <c r="U105" i="9"/>
  <c r="D105" i="6"/>
  <c r="H110" i="9"/>
  <c r="F20" i="7" s="1"/>
  <c r="G110" i="9"/>
  <c r="T105" i="9"/>
  <c r="E105" i="6"/>
  <c r="F110" i="9"/>
  <c r="G20" i="7" s="1"/>
  <c r="S105" i="9"/>
  <c r="E110" i="9"/>
  <c r="J105" i="9"/>
  <c r="D102" i="6"/>
  <c r="U102" i="9"/>
  <c r="S102" i="9"/>
  <c r="W102" i="9" s="1"/>
  <c r="E102" i="6"/>
  <c r="U101" i="9"/>
  <c r="D101" i="6"/>
  <c r="E101" i="6"/>
  <c r="S101" i="9"/>
  <c r="W101" i="9" s="1"/>
  <c r="D100" i="6"/>
  <c r="U100" i="9"/>
  <c r="E100" i="6"/>
  <c r="S100" i="9"/>
  <c r="W100" i="9" s="1"/>
  <c r="D99" i="6"/>
  <c r="U99" i="9"/>
  <c r="E99" i="6"/>
  <c r="S99" i="9"/>
  <c r="W99" i="9" s="1"/>
  <c r="D98" i="6"/>
  <c r="U98" i="9"/>
  <c r="E98" i="6"/>
  <c r="S98" i="9"/>
  <c r="W98" i="9" s="1"/>
  <c r="D97" i="6"/>
  <c r="U97" i="9"/>
  <c r="S97" i="9"/>
  <c r="W97" i="9" s="1"/>
  <c r="E97" i="6"/>
  <c r="U96" i="9"/>
  <c r="D96" i="6"/>
  <c r="S96" i="9"/>
  <c r="W96" i="9" s="1"/>
  <c r="E96" i="6"/>
  <c r="K103" i="9"/>
  <c r="O95" i="9"/>
  <c r="O103" i="9" s="1"/>
  <c r="I103" i="9"/>
  <c r="V95" i="9"/>
  <c r="U95" i="9"/>
  <c r="H103" i="9"/>
  <c r="F19" i="7" s="1"/>
  <c r="D95" i="6"/>
  <c r="T95" i="9"/>
  <c r="G103" i="9"/>
  <c r="E95" i="6"/>
  <c r="S95" i="9"/>
  <c r="W95" i="9" s="1"/>
  <c r="F103" i="9"/>
  <c r="G19" i="7" s="1"/>
  <c r="E103" i="9"/>
  <c r="J95" i="9"/>
  <c r="U92" i="9"/>
  <c r="D92" i="6"/>
  <c r="S92" i="9"/>
  <c r="W92" i="9" s="1"/>
  <c r="E92" i="6"/>
  <c r="D91" i="6"/>
  <c r="U91" i="9"/>
  <c r="E91" i="6"/>
  <c r="S91" i="9"/>
  <c r="W91" i="9" s="1"/>
  <c r="D90" i="6"/>
  <c r="U90" i="9"/>
  <c r="S90" i="9"/>
  <c r="W90" i="9" s="1"/>
  <c r="E90" i="6"/>
  <c r="D89" i="6"/>
  <c r="U89" i="9"/>
  <c r="S89" i="9"/>
  <c r="W89" i="9" s="1"/>
  <c r="E89" i="6"/>
  <c r="D88" i="6"/>
  <c r="U88" i="9"/>
  <c r="E88" i="6"/>
  <c r="S88" i="9"/>
  <c r="W88" i="9" s="1"/>
  <c r="K93" i="9"/>
  <c r="O87" i="9"/>
  <c r="O93" i="9" s="1"/>
  <c r="I93" i="9"/>
  <c r="V87" i="9"/>
  <c r="U87" i="9"/>
  <c r="D87" i="6"/>
  <c r="H93" i="9"/>
  <c r="F18" i="7" s="1"/>
  <c r="T87" i="9"/>
  <c r="G93" i="9"/>
  <c r="S87" i="9"/>
  <c r="W87" i="9" s="1"/>
  <c r="E87" i="6"/>
  <c r="F93" i="9"/>
  <c r="G18" i="7" s="1"/>
  <c r="J87" i="9"/>
  <c r="E93" i="9"/>
  <c r="U84" i="9"/>
  <c r="D84" i="6"/>
  <c r="S84" i="9"/>
  <c r="W84" i="9" s="1"/>
  <c r="E84" i="6"/>
  <c r="U83" i="9"/>
  <c r="D83" i="6"/>
  <c r="E83" i="6"/>
  <c r="S83" i="9"/>
  <c r="W83" i="9" s="1"/>
  <c r="D82" i="6"/>
  <c r="U82" i="9"/>
  <c r="E111" i="5"/>
  <c r="D111" i="5"/>
  <c r="D112" i="5"/>
  <c r="E112" i="5"/>
  <c r="F112" i="5"/>
  <c r="G111" i="5"/>
  <c r="S82" i="9"/>
  <c r="W82" i="9" s="1"/>
  <c r="H111" i="5"/>
  <c r="H112" i="5"/>
  <c r="F111" i="5"/>
  <c r="E82" i="6"/>
  <c r="G112" i="5"/>
  <c r="U81" i="9"/>
  <c r="D81" i="6"/>
  <c r="E110" i="5"/>
  <c r="D109" i="5"/>
  <c r="E109" i="5"/>
  <c r="D110" i="5"/>
  <c r="S81" i="9"/>
  <c r="W81" i="9" s="1"/>
  <c r="H109" i="5"/>
  <c r="F110" i="5"/>
  <c r="H110" i="5"/>
  <c r="G110" i="5"/>
  <c r="E81" i="6"/>
  <c r="F109" i="5"/>
  <c r="G109" i="5"/>
  <c r="D80" i="6"/>
  <c r="U80" i="9"/>
  <c r="S80" i="9"/>
  <c r="W80" i="9" s="1"/>
  <c r="E80" i="6"/>
  <c r="D79" i="6"/>
  <c r="U79" i="9"/>
  <c r="E79" i="6"/>
  <c r="S79" i="9"/>
  <c r="W79" i="9" s="1"/>
  <c r="O78" i="9"/>
  <c r="O85" i="9" s="1"/>
  <c r="K85" i="9"/>
  <c r="V78" i="9"/>
  <c r="I85" i="9"/>
  <c r="D106" i="5"/>
  <c r="C14" i="4" s="1"/>
  <c r="E106" i="5"/>
  <c r="D14" i="4" s="1"/>
  <c r="D78" i="6"/>
  <c r="H85" i="9"/>
  <c r="F14" i="7" s="1"/>
  <c r="U78" i="9"/>
  <c r="T78" i="9"/>
  <c r="G85" i="9"/>
  <c r="S78" i="9"/>
  <c r="W78" i="9" s="1"/>
  <c r="F106" i="5"/>
  <c r="E14" i="4" s="1"/>
  <c r="H106" i="5"/>
  <c r="G14" i="4" s="1"/>
  <c r="E78" i="6"/>
  <c r="G106" i="5"/>
  <c r="F14" i="4" s="1"/>
  <c r="F85" i="9"/>
  <c r="G14" i="7" s="1"/>
  <c r="E85" i="9"/>
  <c r="J78" i="9"/>
  <c r="E104" i="5"/>
  <c r="D104" i="5"/>
  <c r="D75" i="6"/>
  <c r="U75" i="9"/>
  <c r="S75" i="9"/>
  <c r="W75" i="9" s="1"/>
  <c r="E75" i="6"/>
  <c r="H104" i="5"/>
  <c r="G104" i="5"/>
  <c r="F104" i="5"/>
  <c r="U74" i="9"/>
  <c r="D74" i="6"/>
  <c r="D103" i="5"/>
  <c r="E103" i="5"/>
  <c r="H103" i="5"/>
  <c r="G103" i="5"/>
  <c r="S74" i="9"/>
  <c r="W74" i="9" s="1"/>
  <c r="E74" i="6"/>
  <c r="F103" i="5"/>
  <c r="D101" i="5"/>
  <c r="E100" i="5"/>
  <c r="D100" i="5"/>
  <c r="U73" i="9"/>
  <c r="E101" i="5"/>
  <c r="D73" i="6"/>
  <c r="E102" i="5"/>
  <c r="D102" i="5"/>
  <c r="G100" i="5"/>
  <c r="H100" i="5"/>
  <c r="F101" i="5"/>
  <c r="G101" i="5"/>
  <c r="H101" i="5"/>
  <c r="F102" i="5"/>
  <c r="G102" i="5"/>
  <c r="H102" i="5"/>
  <c r="S73" i="9"/>
  <c r="W73" i="9" s="1"/>
  <c r="F100" i="5"/>
  <c r="E73" i="6"/>
  <c r="D98" i="5"/>
  <c r="E98" i="5"/>
  <c r="D99" i="5"/>
  <c r="E99" i="5"/>
  <c r="U72" i="9"/>
  <c r="D72" i="6"/>
  <c r="G98" i="5"/>
  <c r="G99" i="5"/>
  <c r="F98" i="5"/>
  <c r="S72" i="9"/>
  <c r="W72" i="9" s="1"/>
  <c r="H98" i="5"/>
  <c r="F99" i="5"/>
  <c r="H99" i="5"/>
  <c r="E72" i="6"/>
  <c r="U71" i="9"/>
  <c r="D97" i="5"/>
  <c r="E97" i="5"/>
  <c r="D71" i="6"/>
  <c r="G97" i="5"/>
  <c r="E71" i="6"/>
  <c r="H97" i="5"/>
  <c r="S71" i="9"/>
  <c r="W71" i="9" s="1"/>
  <c r="F97" i="5"/>
  <c r="K76" i="9"/>
  <c r="O70" i="9"/>
  <c r="O76" i="9" s="1"/>
  <c r="I76" i="9"/>
  <c r="V70" i="9"/>
  <c r="E96" i="5"/>
  <c r="D96" i="5"/>
  <c r="D95" i="5"/>
  <c r="C13" i="4" s="1"/>
  <c r="E95" i="5"/>
  <c r="D13" i="4" s="1"/>
  <c r="D70" i="6"/>
  <c r="U70" i="9"/>
  <c r="H76" i="9"/>
  <c r="F13" i="7" s="1"/>
  <c r="G76" i="9"/>
  <c r="T70" i="9"/>
  <c r="F96" i="5"/>
  <c r="G96" i="5"/>
  <c r="H96" i="5"/>
  <c r="H95" i="5"/>
  <c r="G13" i="4" s="1"/>
  <c r="F95" i="5"/>
  <c r="E13" i="4" s="1"/>
  <c r="G95" i="5"/>
  <c r="F13" i="4" s="1"/>
  <c r="E70" i="6"/>
  <c r="F76" i="9"/>
  <c r="G13" i="7" s="1"/>
  <c r="S70" i="9"/>
  <c r="W70" i="9" s="1"/>
  <c r="E76" i="9"/>
  <c r="J70" i="9"/>
  <c r="E93" i="5"/>
  <c r="D93" i="5"/>
  <c r="U67" i="9"/>
  <c r="D67" i="6"/>
  <c r="F93" i="5"/>
  <c r="S67" i="9"/>
  <c r="W67" i="9" s="1"/>
  <c r="E67" i="6"/>
  <c r="H93" i="5"/>
  <c r="G93" i="5"/>
  <c r="D66" i="6"/>
  <c r="E92" i="5"/>
  <c r="D92" i="5"/>
  <c r="U66" i="9"/>
  <c r="E66" i="6"/>
  <c r="H92" i="5"/>
  <c r="F92" i="5"/>
  <c r="G92" i="5"/>
  <c r="S66" i="9"/>
  <c r="W66" i="9" s="1"/>
  <c r="E90" i="5"/>
  <c r="D65" i="6"/>
  <c r="D90" i="5"/>
  <c r="E91" i="5"/>
  <c r="D91" i="5"/>
  <c r="U65" i="9"/>
  <c r="H90" i="5"/>
  <c r="G90" i="5"/>
  <c r="F90" i="5"/>
  <c r="E65" i="6"/>
  <c r="S65" i="9"/>
  <c r="W65" i="9" s="1"/>
  <c r="H91" i="5"/>
  <c r="G91" i="5"/>
  <c r="F91" i="5"/>
  <c r="E88" i="5"/>
  <c r="D88" i="5"/>
  <c r="D89" i="5"/>
  <c r="E89" i="5"/>
  <c r="D64" i="6"/>
  <c r="U64" i="9"/>
  <c r="H89" i="5"/>
  <c r="G89" i="5"/>
  <c r="F89" i="5"/>
  <c r="E64" i="6"/>
  <c r="H88" i="5"/>
  <c r="G88" i="5"/>
  <c r="F88" i="5"/>
  <c r="S64" i="9"/>
  <c r="W64" i="9" s="1"/>
  <c r="D63" i="6"/>
  <c r="D86" i="5"/>
  <c r="E86" i="5"/>
  <c r="U63" i="9"/>
  <c r="D87" i="5"/>
  <c r="E87" i="5"/>
  <c r="H87" i="5"/>
  <c r="G86" i="5"/>
  <c r="F87" i="5"/>
  <c r="H86" i="5"/>
  <c r="G87" i="5"/>
  <c r="E63" i="6"/>
  <c r="S63" i="9"/>
  <c r="W63" i="9" s="1"/>
  <c r="F86" i="5"/>
  <c r="O62" i="9"/>
  <c r="O68" i="9" s="1"/>
  <c r="K68" i="9"/>
  <c r="V62" i="9"/>
  <c r="I68" i="9"/>
  <c r="E85" i="5"/>
  <c r="D85" i="5"/>
  <c r="D62" i="6"/>
  <c r="E84" i="5"/>
  <c r="H68" i="9"/>
  <c r="F12" i="7" s="1"/>
  <c r="E83" i="5"/>
  <c r="D12" i="4" s="1"/>
  <c r="D83" i="5"/>
  <c r="C12" i="4" s="1"/>
  <c r="U62" i="9"/>
  <c r="D84" i="5"/>
  <c r="G68" i="9"/>
  <c r="T62" i="9"/>
  <c r="G85" i="5"/>
  <c r="F85" i="5"/>
  <c r="H84" i="5"/>
  <c r="G84" i="5"/>
  <c r="H83" i="5"/>
  <c r="G83" i="5"/>
  <c r="F12" i="4" s="1"/>
  <c r="F83" i="5"/>
  <c r="E62" i="6"/>
  <c r="H85" i="5"/>
  <c r="S62" i="9"/>
  <c r="W62" i="9" s="1"/>
  <c r="F68" i="9"/>
  <c r="G12" i="7" s="1"/>
  <c r="F84" i="5"/>
  <c r="J62" i="9"/>
  <c r="E68" i="9"/>
  <c r="D59" i="6"/>
  <c r="U59" i="9"/>
  <c r="E59" i="6"/>
  <c r="S59" i="9"/>
  <c r="W59" i="9" s="1"/>
  <c r="U58" i="9"/>
  <c r="D58" i="6"/>
  <c r="D80" i="5"/>
  <c r="E80" i="5"/>
  <c r="H80" i="5"/>
  <c r="E58" i="6"/>
  <c r="F80" i="5"/>
  <c r="G80" i="5"/>
  <c r="S58" i="9"/>
  <c r="W58" i="9" s="1"/>
  <c r="D57" i="6"/>
  <c r="D79" i="5"/>
  <c r="E79" i="5"/>
  <c r="U57" i="9"/>
  <c r="H79" i="5"/>
  <c r="G79" i="5"/>
  <c r="E57" i="6"/>
  <c r="F79" i="5"/>
  <c r="S57" i="9"/>
  <c r="W57" i="9" s="1"/>
  <c r="D77" i="5"/>
  <c r="D56" i="6"/>
  <c r="E78" i="5"/>
  <c r="D78" i="5"/>
  <c r="E77" i="5"/>
  <c r="U56" i="9"/>
  <c r="F78" i="5"/>
  <c r="S56" i="9"/>
  <c r="W56" i="9" s="1"/>
  <c r="H78" i="5"/>
  <c r="E56" i="6"/>
  <c r="G78" i="5"/>
  <c r="H77" i="5"/>
  <c r="G77" i="5"/>
  <c r="F77" i="5"/>
  <c r="D55" i="6"/>
  <c r="E76" i="5"/>
  <c r="D76" i="5"/>
  <c r="U55" i="9"/>
  <c r="H76" i="5"/>
  <c r="F76" i="5"/>
  <c r="E55" i="6"/>
  <c r="G76" i="5"/>
  <c r="S55" i="9"/>
  <c r="W55" i="9" s="1"/>
  <c r="U54" i="9"/>
  <c r="D74" i="5"/>
  <c r="D75" i="5"/>
  <c r="E75" i="5"/>
  <c r="D54" i="6"/>
  <c r="E74" i="5"/>
  <c r="F75" i="5"/>
  <c r="G74" i="5"/>
  <c r="F74" i="5"/>
  <c r="H74" i="5"/>
  <c r="H75" i="5"/>
  <c r="E54" i="6"/>
  <c r="G75" i="5"/>
  <c r="S54" i="9"/>
  <c r="W54" i="9" s="1"/>
  <c r="D72" i="5"/>
  <c r="D73" i="5"/>
  <c r="E73" i="5"/>
  <c r="U53" i="9"/>
  <c r="D53" i="6"/>
  <c r="E72" i="5"/>
  <c r="S53" i="9"/>
  <c r="W53" i="9" s="1"/>
  <c r="E53" i="6"/>
  <c r="H73" i="5"/>
  <c r="G73" i="5"/>
  <c r="F73" i="5"/>
  <c r="H72" i="5"/>
  <c r="G72" i="5"/>
  <c r="F72" i="5"/>
  <c r="E71" i="5"/>
  <c r="D70" i="5"/>
  <c r="E70" i="5"/>
  <c r="D11" i="4" s="1"/>
  <c r="U52" i="9"/>
  <c r="D52" i="6"/>
  <c r="D71" i="5"/>
  <c r="E52" i="6"/>
  <c r="F71" i="5"/>
  <c r="G70" i="5"/>
  <c r="G71" i="5"/>
  <c r="F70" i="5"/>
  <c r="E11" i="4" s="1"/>
  <c r="S52" i="9"/>
  <c r="W52" i="9" s="1"/>
  <c r="H71" i="5"/>
  <c r="H70" i="5"/>
  <c r="G11" i="4" s="1"/>
  <c r="O51" i="9"/>
  <c r="O60" i="9" s="1"/>
  <c r="K60" i="9"/>
  <c r="I60" i="9"/>
  <c r="V51" i="9"/>
  <c r="U51" i="9"/>
  <c r="D51" i="6"/>
  <c r="H60" i="9"/>
  <c r="F11" i="7" s="1"/>
  <c r="G60" i="9"/>
  <c r="T51" i="9"/>
  <c r="E51" i="6"/>
  <c r="S51" i="9"/>
  <c r="W51" i="9" s="1"/>
  <c r="F60" i="9"/>
  <c r="G11" i="7" s="1"/>
  <c r="E60" i="9"/>
  <c r="J51" i="9"/>
  <c r="U48" i="9"/>
  <c r="E66" i="5"/>
  <c r="E67" i="5"/>
  <c r="D67" i="5"/>
  <c r="D66" i="5"/>
  <c r="D48" i="6"/>
  <c r="H66" i="5"/>
  <c r="G67" i="5"/>
  <c r="F67" i="5"/>
  <c r="G66" i="5"/>
  <c r="H67" i="5"/>
  <c r="S48" i="9"/>
  <c r="W48" i="9" s="1"/>
  <c r="F66" i="5"/>
  <c r="E48" i="6"/>
  <c r="E65" i="5"/>
  <c r="U47" i="9"/>
  <c r="D65" i="5"/>
  <c r="D47" i="6"/>
  <c r="G65" i="5"/>
  <c r="F65" i="5"/>
  <c r="H65" i="5"/>
  <c r="E47" i="6"/>
  <c r="S47" i="9"/>
  <c r="W47" i="9" s="1"/>
  <c r="U46" i="9"/>
  <c r="E64" i="5"/>
  <c r="D64" i="5"/>
  <c r="D46" i="6"/>
  <c r="E63" i="5"/>
  <c r="D63" i="5"/>
  <c r="S46" i="9"/>
  <c r="W46" i="9" s="1"/>
  <c r="G64" i="5"/>
  <c r="F64" i="5"/>
  <c r="G63" i="5"/>
  <c r="H63" i="5"/>
  <c r="H64" i="5"/>
  <c r="F63" i="5"/>
  <c r="E46" i="6"/>
  <c r="U45" i="9"/>
  <c r="D61" i="5"/>
  <c r="E61" i="5"/>
  <c r="D45" i="6"/>
  <c r="E62" i="5"/>
  <c r="D62" i="5"/>
  <c r="S45" i="9"/>
  <c r="W45" i="9" s="1"/>
  <c r="E45" i="6"/>
  <c r="F61" i="5"/>
  <c r="H62" i="5"/>
  <c r="G62" i="5"/>
  <c r="F62" i="5"/>
  <c r="H61" i="5"/>
  <c r="G61" i="5"/>
  <c r="D60" i="5"/>
  <c r="U44" i="9"/>
  <c r="D59" i="5"/>
  <c r="E60" i="5"/>
  <c r="D44" i="6"/>
  <c r="E59" i="5"/>
  <c r="G59" i="5"/>
  <c r="E44" i="6"/>
  <c r="H60" i="5"/>
  <c r="G60" i="5"/>
  <c r="F60" i="5"/>
  <c r="H59" i="5"/>
  <c r="S44" i="9"/>
  <c r="W44" i="9" s="1"/>
  <c r="F59" i="5"/>
  <c r="D43" i="6"/>
  <c r="U43" i="9"/>
  <c r="D58" i="5"/>
  <c r="E58" i="5"/>
  <c r="S43" i="9"/>
  <c r="W43" i="9" s="1"/>
  <c r="H58" i="5"/>
  <c r="G58" i="5"/>
  <c r="F58" i="5"/>
  <c r="E43" i="6"/>
  <c r="U42" i="9"/>
  <c r="E57" i="5"/>
  <c r="D57" i="5"/>
  <c r="D56" i="5"/>
  <c r="E56" i="5"/>
  <c r="D42" i="6"/>
  <c r="S42" i="9"/>
  <c r="W42" i="9" s="1"/>
  <c r="H56" i="5"/>
  <c r="E42" i="6"/>
  <c r="F56" i="5"/>
  <c r="G56" i="5"/>
  <c r="H57" i="5"/>
  <c r="G57" i="5"/>
  <c r="F57" i="5"/>
  <c r="O41" i="9"/>
  <c r="O49" i="9" s="1"/>
  <c r="K49" i="9"/>
  <c r="V41" i="9"/>
  <c r="I49" i="9"/>
  <c r="D55" i="5"/>
  <c r="E55" i="5"/>
  <c r="U41" i="9"/>
  <c r="D41" i="6"/>
  <c r="H49" i="9"/>
  <c r="F10" i="7" s="1"/>
  <c r="T41" i="9"/>
  <c r="G49" i="9"/>
  <c r="F49" i="9"/>
  <c r="G10" i="7" s="1"/>
  <c r="S41" i="9"/>
  <c r="W41" i="9" s="1"/>
  <c r="E41" i="6"/>
  <c r="G55" i="5"/>
  <c r="F55" i="5"/>
  <c r="H55" i="5"/>
  <c r="J41" i="9"/>
  <c r="E49" i="9"/>
  <c r="U38" i="9"/>
  <c r="E53" i="5"/>
  <c r="D53" i="5"/>
  <c r="D38" i="6"/>
  <c r="E38" i="6"/>
  <c r="F53" i="5"/>
  <c r="G53" i="5"/>
  <c r="H53" i="5"/>
  <c r="S38" i="9"/>
  <c r="W38" i="9" s="1"/>
  <c r="U37" i="9"/>
  <c r="D52" i="5"/>
  <c r="D37" i="6"/>
  <c r="E52" i="5"/>
  <c r="S37" i="9"/>
  <c r="W37" i="9" s="1"/>
  <c r="H52" i="5"/>
  <c r="E37" i="6"/>
  <c r="G52" i="5"/>
  <c r="F52" i="5"/>
  <c r="D36" i="6"/>
  <c r="U36" i="9"/>
  <c r="D51" i="5"/>
  <c r="E51" i="5"/>
  <c r="G51" i="5"/>
  <c r="H51" i="5"/>
  <c r="E36" i="6"/>
  <c r="S36" i="9"/>
  <c r="W36" i="9" s="1"/>
  <c r="F51" i="5"/>
  <c r="U35" i="9"/>
  <c r="D35" i="6"/>
  <c r="D49" i="5"/>
  <c r="E49" i="5"/>
  <c r="D50" i="5"/>
  <c r="E50" i="5"/>
  <c r="G49" i="5"/>
  <c r="E35" i="6"/>
  <c r="F49" i="5"/>
  <c r="H49" i="5"/>
  <c r="F50" i="5"/>
  <c r="G50" i="5"/>
  <c r="H50" i="5"/>
  <c r="S35" i="9"/>
  <c r="W35" i="9" s="1"/>
  <c r="D34" i="6"/>
  <c r="D47" i="5"/>
  <c r="E47" i="5"/>
  <c r="U34" i="9"/>
  <c r="E48" i="5"/>
  <c r="D48" i="5"/>
  <c r="F47" i="5"/>
  <c r="S34" i="9"/>
  <c r="W34" i="9" s="1"/>
  <c r="H48" i="5"/>
  <c r="G48" i="5"/>
  <c r="F48" i="5"/>
  <c r="G47" i="5"/>
  <c r="H47" i="5"/>
  <c r="E34" i="6"/>
  <c r="O33" i="9"/>
  <c r="O39" i="9" s="1"/>
  <c r="K39" i="9"/>
  <c r="I39" i="9"/>
  <c r="V33" i="9"/>
  <c r="D45" i="5"/>
  <c r="E46" i="5"/>
  <c r="U33" i="9"/>
  <c r="H39" i="9"/>
  <c r="F9" i="7" s="1"/>
  <c r="D33" i="6"/>
  <c r="D46" i="5"/>
  <c r="E45" i="5"/>
  <c r="D9" i="4" s="1"/>
  <c r="G39" i="9"/>
  <c r="T33" i="9"/>
  <c r="F39" i="9"/>
  <c r="G9" i="7" s="1"/>
  <c r="E33" i="6"/>
  <c r="F46" i="5"/>
  <c r="S33" i="9"/>
  <c r="W33" i="9" s="1"/>
  <c r="H46" i="5"/>
  <c r="H45" i="5"/>
  <c r="G9" i="4" s="1"/>
  <c r="G45" i="5"/>
  <c r="F45" i="5"/>
  <c r="E9" i="4" s="1"/>
  <c r="G46" i="5"/>
  <c r="J33" i="9"/>
  <c r="E39" i="9"/>
  <c r="D30" i="6"/>
  <c r="U30" i="9"/>
  <c r="E30" i="6"/>
  <c r="S30" i="9"/>
  <c r="W30" i="9" s="1"/>
  <c r="U29" i="9"/>
  <c r="E42" i="5"/>
  <c r="D29" i="6"/>
  <c r="D42" i="5"/>
  <c r="H42" i="5"/>
  <c r="G42" i="5"/>
  <c r="F42" i="5"/>
  <c r="S29" i="9"/>
  <c r="W29" i="9" s="1"/>
  <c r="E29" i="6"/>
  <c r="E41" i="5"/>
  <c r="D41" i="5"/>
  <c r="D28" i="6"/>
  <c r="U28" i="9"/>
  <c r="H41" i="5"/>
  <c r="G41" i="5"/>
  <c r="F41" i="5"/>
  <c r="E28" i="6"/>
  <c r="S28" i="9"/>
  <c r="W28" i="9" s="1"/>
  <c r="D27" i="6"/>
  <c r="E40" i="5"/>
  <c r="D8" i="4" s="1"/>
  <c r="D40" i="5"/>
  <c r="C8" i="4" s="1"/>
  <c r="U27" i="9"/>
  <c r="H40" i="5"/>
  <c r="G8" i="4" s="1"/>
  <c r="G40" i="5"/>
  <c r="F8" i="4" s="1"/>
  <c r="F40" i="5"/>
  <c r="E8" i="4" s="1"/>
  <c r="E27" i="6"/>
  <c r="S27" i="9"/>
  <c r="W27" i="9" s="1"/>
  <c r="K31" i="9"/>
  <c r="O26" i="9"/>
  <c r="O31" i="9" s="1"/>
  <c r="V26" i="9"/>
  <c r="I31" i="9"/>
  <c r="D26" i="6"/>
  <c r="H31" i="9"/>
  <c r="F8" i="7" s="1"/>
  <c r="U26" i="9"/>
  <c r="T26" i="9"/>
  <c r="G31" i="9"/>
  <c r="E26" i="6"/>
  <c r="F31" i="9"/>
  <c r="G8" i="7" s="1"/>
  <c r="S26" i="9"/>
  <c r="W26" i="9" s="1"/>
  <c r="E31" i="9"/>
  <c r="J26" i="9"/>
  <c r="U23" i="9"/>
  <c r="D35" i="5"/>
  <c r="E35" i="5"/>
  <c r="D23" i="6"/>
  <c r="D36" i="5"/>
  <c r="E36" i="5"/>
  <c r="D37" i="5"/>
  <c r="E37" i="5"/>
  <c r="H35" i="5"/>
  <c r="G35" i="5"/>
  <c r="F35" i="5"/>
  <c r="F37" i="5"/>
  <c r="E23" i="6"/>
  <c r="H37" i="5"/>
  <c r="G37" i="5"/>
  <c r="H36" i="5"/>
  <c r="G36" i="5"/>
  <c r="F36" i="5"/>
  <c r="S23" i="9"/>
  <c r="W23" i="9" s="1"/>
  <c r="U22" i="9"/>
  <c r="D32" i="5"/>
  <c r="D34" i="5"/>
  <c r="E32" i="5"/>
  <c r="E34" i="5"/>
  <c r="E33" i="5"/>
  <c r="D33" i="5"/>
  <c r="D22" i="6"/>
  <c r="F32" i="5"/>
  <c r="G32" i="5"/>
  <c r="H32" i="5"/>
  <c r="E22" i="6"/>
  <c r="S22" i="9"/>
  <c r="W22" i="9" s="1"/>
  <c r="F33" i="5"/>
  <c r="G33" i="5"/>
  <c r="H33" i="5"/>
  <c r="F34" i="5"/>
  <c r="G34" i="5"/>
  <c r="H34" i="5"/>
  <c r="E31" i="5"/>
  <c r="D31" i="5"/>
  <c r="D21" i="6"/>
  <c r="U21" i="9"/>
  <c r="G31" i="5"/>
  <c r="F31" i="5"/>
  <c r="E21" i="6"/>
  <c r="S21" i="9"/>
  <c r="W21" i="9" s="1"/>
  <c r="H31" i="5"/>
  <c r="E30" i="5"/>
  <c r="D30" i="5"/>
  <c r="D20" i="6"/>
  <c r="E29" i="5"/>
  <c r="D29" i="5"/>
  <c r="U20" i="9"/>
  <c r="H30" i="5"/>
  <c r="G30" i="5"/>
  <c r="H29" i="5"/>
  <c r="G29" i="5"/>
  <c r="F29" i="5"/>
  <c r="F30" i="5"/>
  <c r="E20" i="6"/>
  <c r="S20" i="9"/>
  <c r="W20" i="9" s="1"/>
  <c r="K24" i="9"/>
  <c r="O19" i="9"/>
  <c r="O24" i="9" s="1"/>
  <c r="V19" i="9"/>
  <c r="I24" i="9"/>
  <c r="D27" i="5"/>
  <c r="C7" i="4" s="1"/>
  <c r="E27" i="5"/>
  <c r="D28" i="5"/>
  <c r="U19" i="9"/>
  <c r="D19" i="6"/>
  <c r="E28" i="5"/>
  <c r="H24" i="9"/>
  <c r="F7" i="7" s="1"/>
  <c r="T19" i="9"/>
  <c r="G24" i="9"/>
  <c r="H27" i="5"/>
  <c r="G27" i="5"/>
  <c r="F27" i="5"/>
  <c r="F24" i="9"/>
  <c r="G7" i="7" s="1"/>
  <c r="S19" i="9"/>
  <c r="W19" i="9" s="1"/>
  <c r="F28" i="5"/>
  <c r="G28" i="5"/>
  <c r="H28" i="5"/>
  <c r="E19" i="6"/>
  <c r="J19" i="9"/>
  <c r="E24" i="9"/>
  <c r="E24" i="5"/>
  <c r="D24" i="5"/>
  <c r="U16" i="9"/>
  <c r="D16" i="6"/>
  <c r="D25" i="5"/>
  <c r="E25" i="5"/>
  <c r="H25" i="5"/>
  <c r="G25" i="5"/>
  <c r="F24" i="5"/>
  <c r="G24" i="5"/>
  <c r="S16" i="9"/>
  <c r="W16" i="9" s="1"/>
  <c r="H24" i="5"/>
  <c r="E16" i="6"/>
  <c r="F25" i="5"/>
  <c r="D22" i="5"/>
  <c r="U15" i="9"/>
  <c r="E23" i="5"/>
  <c r="D23" i="5"/>
  <c r="D15" i="6"/>
  <c r="E22" i="5"/>
  <c r="E15" i="6"/>
  <c r="G23" i="5"/>
  <c r="H23" i="5"/>
  <c r="S15" i="9"/>
  <c r="W15" i="9" s="1"/>
  <c r="H22" i="5"/>
  <c r="F22" i="5"/>
  <c r="G22" i="5"/>
  <c r="F23" i="5"/>
  <c r="D14" i="6"/>
  <c r="E21" i="5"/>
  <c r="D21" i="5"/>
  <c r="U14" i="9"/>
  <c r="E14" i="6"/>
  <c r="S14" i="9"/>
  <c r="W14" i="9" s="1"/>
  <c r="H21" i="5"/>
  <c r="G21" i="5"/>
  <c r="F21" i="5"/>
  <c r="E18" i="5"/>
  <c r="U13" i="9"/>
  <c r="D18" i="5"/>
  <c r="D13" i="6"/>
  <c r="E20" i="5"/>
  <c r="D20" i="5"/>
  <c r="E19" i="5"/>
  <c r="D19" i="5"/>
  <c r="E13" i="6"/>
  <c r="S13" i="9"/>
  <c r="W13" i="9" s="1"/>
  <c r="F18" i="5"/>
  <c r="F19" i="5"/>
  <c r="G18" i="5"/>
  <c r="G19" i="5"/>
  <c r="H19" i="5"/>
  <c r="F20" i="5"/>
  <c r="H20" i="5"/>
  <c r="H18" i="5"/>
  <c r="G20" i="5"/>
  <c r="E16" i="5"/>
  <c r="D12" i="6"/>
  <c r="D17" i="5"/>
  <c r="E17" i="5"/>
  <c r="U12" i="9"/>
  <c r="D16" i="5"/>
  <c r="G17" i="5"/>
  <c r="E12" i="6"/>
  <c r="F16" i="5"/>
  <c r="G16" i="5"/>
  <c r="F17" i="5"/>
  <c r="H16" i="5"/>
  <c r="S12" i="9"/>
  <c r="W12" i="9" s="1"/>
  <c r="H17" i="5"/>
  <c r="E14" i="5"/>
  <c r="E15" i="5"/>
  <c r="D14" i="5"/>
  <c r="D11" i="6"/>
  <c r="D15" i="5"/>
  <c r="U11" i="9"/>
  <c r="F14" i="5"/>
  <c r="H14" i="5"/>
  <c r="G14" i="5"/>
  <c r="G15" i="5"/>
  <c r="E11" i="6"/>
  <c r="F15" i="5"/>
  <c r="S11" i="9"/>
  <c r="W11" i="9" s="1"/>
  <c r="H15" i="5"/>
  <c r="K17" i="9"/>
  <c r="O10" i="9"/>
  <c r="O17" i="9" s="1"/>
  <c r="V10" i="9"/>
  <c r="I17" i="9"/>
  <c r="H17" i="9"/>
  <c r="F6" i="7" s="1"/>
  <c r="D10" i="6"/>
  <c r="E12" i="5"/>
  <c r="D13" i="5"/>
  <c r="D12" i="5"/>
  <c r="C6" i="4" s="1"/>
  <c r="E13" i="5"/>
  <c r="U10" i="9"/>
  <c r="G17" i="9"/>
  <c r="T10" i="9"/>
  <c r="S10" i="9"/>
  <c r="W10" i="9" s="1"/>
  <c r="H13" i="5"/>
  <c r="F17" i="9"/>
  <c r="G6" i="7" s="1"/>
  <c r="G13" i="5"/>
  <c r="E10" i="6"/>
  <c r="F12" i="5"/>
  <c r="G12" i="5"/>
  <c r="F6" i="4" s="1"/>
  <c r="H12" i="5"/>
  <c r="G6" i="4" s="1"/>
  <c r="F13" i="5"/>
  <c r="J10" i="9"/>
  <c r="E17" i="9"/>
  <c r="E9" i="5"/>
  <c r="D9" i="5"/>
  <c r="U7" i="9"/>
  <c r="D7" i="6"/>
  <c r="D10" i="5"/>
  <c r="E10" i="5"/>
  <c r="F9" i="5"/>
  <c r="G9" i="5"/>
  <c r="H9" i="5"/>
  <c r="S7" i="9"/>
  <c r="W7" i="9" s="1"/>
  <c r="H10" i="5"/>
  <c r="E7" i="6"/>
  <c r="G10" i="5"/>
  <c r="F10" i="5"/>
  <c r="U6" i="9"/>
  <c r="D6" i="6"/>
  <c r="E6" i="6"/>
  <c r="S6" i="9"/>
  <c r="W6" i="9" s="1"/>
  <c r="E7" i="5"/>
  <c r="D5" i="6"/>
  <c r="D7" i="5"/>
  <c r="U5" i="9"/>
  <c r="F7" i="5"/>
  <c r="G7" i="5"/>
  <c r="H7" i="5"/>
  <c r="E5" i="6"/>
  <c r="S5" i="9"/>
  <c r="W5" i="9" s="1"/>
  <c r="D4" i="6"/>
  <c r="E6" i="5"/>
  <c r="D6" i="5"/>
  <c r="U4" i="9"/>
  <c r="E4" i="6"/>
  <c r="F6" i="5"/>
  <c r="G6" i="5"/>
  <c r="H6" i="5"/>
  <c r="S4" i="9"/>
  <c r="W4" i="9" s="1"/>
  <c r="O3" i="9"/>
  <c r="O8" i="9" s="1"/>
  <c r="K8" i="9"/>
  <c r="V3" i="9"/>
  <c r="I8" i="9"/>
  <c r="U3" i="9"/>
  <c r="D3" i="6"/>
  <c r="D4" i="5"/>
  <c r="H8" i="9"/>
  <c r="F5" i="7" s="1"/>
  <c r="E5" i="5"/>
  <c r="E4" i="5"/>
  <c r="D5" i="5"/>
  <c r="G8" i="9"/>
  <c r="T3" i="9"/>
  <c r="G4" i="5"/>
  <c r="F4" i="5"/>
  <c r="S3" i="9"/>
  <c r="W3" i="9" s="1"/>
  <c r="E3" i="6"/>
  <c r="H5" i="5"/>
  <c r="G5" i="5"/>
  <c r="F5" i="5"/>
  <c r="H4" i="5"/>
  <c r="F8" i="9"/>
  <c r="G5" i="7" s="1"/>
  <c r="J3" i="9"/>
  <c r="E8" i="9"/>
  <c r="C42" i="8"/>
  <c r="C41" i="8"/>
  <c r="V148" i="11" l="1"/>
  <c r="V147" i="11"/>
  <c r="V146" i="11"/>
  <c r="P145" i="11"/>
  <c r="P146" i="11"/>
  <c r="P147" i="11"/>
  <c r="P148" i="11"/>
  <c r="Q145" i="11"/>
  <c r="T145" i="11"/>
  <c r="J149" i="11"/>
  <c r="E37" i="8"/>
  <c r="V142" i="11"/>
  <c r="P141" i="11"/>
  <c r="P142" i="11"/>
  <c r="Q141" i="11"/>
  <c r="T141" i="11"/>
  <c r="J143" i="11"/>
  <c r="E36" i="8"/>
  <c r="V138" i="11"/>
  <c r="V137" i="11"/>
  <c r="V136" i="11"/>
  <c r="P135" i="11"/>
  <c r="P136" i="11"/>
  <c r="P137" i="11"/>
  <c r="P138" i="11"/>
  <c r="Q135" i="11"/>
  <c r="T135" i="11"/>
  <c r="J139" i="11"/>
  <c r="E35" i="8"/>
  <c r="V132" i="11"/>
  <c r="V131" i="11"/>
  <c r="V130" i="11"/>
  <c r="V129" i="11"/>
  <c r="V128" i="11"/>
  <c r="P127" i="11"/>
  <c r="P128" i="11"/>
  <c r="P129" i="11"/>
  <c r="P130" i="11"/>
  <c r="P131" i="11"/>
  <c r="P132" i="11"/>
  <c r="Q127" i="11"/>
  <c r="T127" i="11"/>
  <c r="J133" i="11"/>
  <c r="E34" i="8"/>
  <c r="V124" i="11"/>
  <c r="V123" i="11"/>
  <c r="V122" i="11"/>
  <c r="V121" i="11"/>
  <c r="V120" i="11"/>
  <c r="V119" i="11"/>
  <c r="P118" i="11"/>
  <c r="P119" i="11"/>
  <c r="P120" i="11"/>
  <c r="P121" i="11"/>
  <c r="P122" i="11"/>
  <c r="P123" i="11"/>
  <c r="P124" i="11"/>
  <c r="Q118" i="11"/>
  <c r="T118" i="11"/>
  <c r="J125" i="11"/>
  <c r="E33" i="8"/>
  <c r="V115" i="11"/>
  <c r="V114" i="11"/>
  <c r="V113" i="11"/>
  <c r="P112" i="11"/>
  <c r="P114" i="11"/>
  <c r="P113" i="11"/>
  <c r="P115" i="11"/>
  <c r="T112" i="11"/>
  <c r="J116" i="11"/>
  <c r="Q112" i="11"/>
  <c r="E32" i="8"/>
  <c r="V109" i="11"/>
  <c r="V108" i="11"/>
  <c r="V107" i="11"/>
  <c r="V106" i="11"/>
  <c r="P105" i="11"/>
  <c r="P106" i="11"/>
  <c r="P107" i="11"/>
  <c r="P108" i="11"/>
  <c r="P109" i="11"/>
  <c r="Q105" i="11"/>
  <c r="T105" i="11"/>
  <c r="J110" i="11"/>
  <c r="E31" i="8"/>
  <c r="V102" i="11"/>
  <c r="V101" i="11"/>
  <c r="V100" i="11"/>
  <c r="V99" i="11"/>
  <c r="V98" i="11"/>
  <c r="V97" i="11"/>
  <c r="V96" i="11"/>
  <c r="P95" i="11"/>
  <c r="P96" i="11"/>
  <c r="P97" i="11"/>
  <c r="P98" i="11"/>
  <c r="P99" i="11"/>
  <c r="P100" i="11"/>
  <c r="P101" i="11"/>
  <c r="P102" i="11"/>
  <c r="Q95" i="11"/>
  <c r="T95" i="11"/>
  <c r="J103" i="11"/>
  <c r="E30" i="8"/>
  <c r="V92" i="11"/>
  <c r="V91" i="11"/>
  <c r="V90" i="11"/>
  <c r="V89" i="11"/>
  <c r="V88" i="11"/>
  <c r="P87" i="11"/>
  <c r="P88" i="11"/>
  <c r="P89" i="11"/>
  <c r="P90" i="11"/>
  <c r="P91" i="11"/>
  <c r="P92" i="11"/>
  <c r="Q87" i="11"/>
  <c r="T87" i="11"/>
  <c r="J93" i="11"/>
  <c r="E29" i="8"/>
  <c r="V84" i="11"/>
  <c r="V83" i="11"/>
  <c r="V82" i="11"/>
  <c r="V81" i="11"/>
  <c r="V80" i="11"/>
  <c r="V79" i="11"/>
  <c r="P78" i="11"/>
  <c r="P79" i="11"/>
  <c r="P80" i="11"/>
  <c r="P81" i="11"/>
  <c r="P82" i="11"/>
  <c r="P83" i="11"/>
  <c r="P84" i="11"/>
  <c r="Q78" i="11"/>
  <c r="T78" i="11"/>
  <c r="J85" i="11"/>
  <c r="E24" i="8"/>
  <c r="V75" i="11"/>
  <c r="V74" i="11"/>
  <c r="V73" i="11"/>
  <c r="V72" i="11"/>
  <c r="V71" i="11"/>
  <c r="P70" i="11"/>
  <c r="P71" i="11"/>
  <c r="P72" i="11"/>
  <c r="P73" i="11"/>
  <c r="P74" i="11"/>
  <c r="P75" i="11"/>
  <c r="Q70" i="11"/>
  <c r="T70" i="11"/>
  <c r="J76" i="11"/>
  <c r="E23" i="8"/>
  <c r="V67" i="11"/>
  <c r="V66" i="11"/>
  <c r="V65" i="11"/>
  <c r="V64" i="11"/>
  <c r="V63" i="11"/>
  <c r="P64" i="11"/>
  <c r="P66" i="11"/>
  <c r="P62" i="11"/>
  <c r="P63" i="11"/>
  <c r="P65" i="11"/>
  <c r="P67" i="11"/>
  <c r="Q62" i="11"/>
  <c r="T62" i="11"/>
  <c r="J68" i="11"/>
  <c r="E22" i="8"/>
  <c r="V59" i="11"/>
  <c r="V58" i="11"/>
  <c r="V57" i="11"/>
  <c r="V56" i="11"/>
  <c r="V55" i="11"/>
  <c r="V54" i="11"/>
  <c r="V53" i="11"/>
  <c r="V52" i="11"/>
  <c r="P52" i="11"/>
  <c r="P55" i="11"/>
  <c r="P58" i="11"/>
  <c r="P59" i="11"/>
  <c r="P51" i="11"/>
  <c r="P53" i="11"/>
  <c r="P54" i="11"/>
  <c r="P56" i="11"/>
  <c r="P57" i="11"/>
  <c r="T51" i="11"/>
  <c r="Q51" i="11"/>
  <c r="J60" i="11"/>
  <c r="E21" i="8"/>
  <c r="V48" i="11"/>
  <c r="V47" i="11"/>
  <c r="V46" i="11"/>
  <c r="V45" i="11"/>
  <c r="V44" i="11"/>
  <c r="V43" i="11"/>
  <c r="V42" i="11"/>
  <c r="P41" i="11"/>
  <c r="P44" i="11"/>
  <c r="P45" i="11"/>
  <c r="P46" i="11"/>
  <c r="P48" i="11"/>
  <c r="P42" i="11"/>
  <c r="P43" i="11"/>
  <c r="P47" i="11"/>
  <c r="Q41" i="11"/>
  <c r="J49" i="11"/>
  <c r="T41" i="11"/>
  <c r="E20" i="8"/>
  <c r="V38" i="11"/>
  <c r="V37" i="11"/>
  <c r="V36" i="11"/>
  <c r="V35" i="11"/>
  <c r="V34" i="11"/>
  <c r="P33" i="11"/>
  <c r="P34" i="11"/>
  <c r="P36" i="11"/>
  <c r="P37" i="11"/>
  <c r="P35" i="11"/>
  <c r="P38" i="11"/>
  <c r="T33" i="11"/>
  <c r="J39" i="11"/>
  <c r="E19" i="8"/>
  <c r="Q33" i="11"/>
  <c r="V30" i="11"/>
  <c r="V29" i="11"/>
  <c r="V28" i="11"/>
  <c r="V27" i="11"/>
  <c r="P26" i="11"/>
  <c r="P27" i="11"/>
  <c r="P28" i="11"/>
  <c r="P29" i="11"/>
  <c r="P30" i="11"/>
  <c r="Q26" i="11"/>
  <c r="J31" i="11"/>
  <c r="E18" i="8"/>
  <c r="T26" i="11"/>
  <c r="V23" i="11"/>
  <c r="V22" i="11"/>
  <c r="V21" i="11"/>
  <c r="V20" i="11"/>
  <c r="P19" i="11"/>
  <c r="P21" i="11"/>
  <c r="P22" i="11"/>
  <c r="P23" i="11"/>
  <c r="P20" i="11"/>
  <c r="Q19" i="11"/>
  <c r="J24" i="11"/>
  <c r="E17" i="8"/>
  <c r="T19" i="11"/>
  <c r="V16" i="11"/>
  <c r="V15" i="11"/>
  <c r="V14" i="11"/>
  <c r="V13" i="11"/>
  <c r="V12" i="11"/>
  <c r="T11" i="11"/>
  <c r="P10" i="11"/>
  <c r="P11" i="11"/>
  <c r="P12" i="11"/>
  <c r="P13" i="11"/>
  <c r="P15" i="11"/>
  <c r="P14" i="11"/>
  <c r="P16" i="11"/>
  <c r="T10" i="11"/>
  <c r="Q10" i="11"/>
  <c r="J17" i="11"/>
  <c r="E16" i="8"/>
  <c r="V7" i="11"/>
  <c r="V6" i="11"/>
  <c r="V5" i="11"/>
  <c r="V4" i="11"/>
  <c r="P3" i="11"/>
  <c r="P4" i="11"/>
  <c r="P5" i="11"/>
  <c r="P6" i="11"/>
  <c r="P7" i="11"/>
  <c r="Q3" i="11"/>
  <c r="T3" i="11"/>
  <c r="J8" i="11"/>
  <c r="E15" i="8"/>
  <c r="P145" i="9"/>
  <c r="P146" i="9"/>
  <c r="P147" i="9"/>
  <c r="P148" i="9"/>
  <c r="Q145" i="9"/>
  <c r="J149" i="9"/>
  <c r="P141" i="9"/>
  <c r="P142" i="9"/>
  <c r="Q141" i="9"/>
  <c r="J143" i="9"/>
  <c r="P135" i="9"/>
  <c r="P136" i="9"/>
  <c r="P137" i="9"/>
  <c r="P138" i="9"/>
  <c r="Q135" i="9"/>
  <c r="J139" i="9"/>
  <c r="P127" i="9"/>
  <c r="P128" i="9"/>
  <c r="P129" i="9"/>
  <c r="P130" i="9"/>
  <c r="P131" i="9"/>
  <c r="P132" i="9"/>
  <c r="Q127" i="9"/>
  <c r="J133" i="9"/>
  <c r="P118" i="9"/>
  <c r="P119" i="9"/>
  <c r="P120" i="9"/>
  <c r="P121" i="9"/>
  <c r="P122" i="9"/>
  <c r="P123" i="9"/>
  <c r="P124" i="9"/>
  <c r="Q118" i="9"/>
  <c r="J125" i="9"/>
  <c r="P112" i="9"/>
  <c r="P113" i="9"/>
  <c r="P114" i="9"/>
  <c r="P115" i="9"/>
  <c r="Q112" i="9"/>
  <c r="J116" i="9"/>
  <c r="P105" i="9"/>
  <c r="P106" i="9"/>
  <c r="P107" i="9"/>
  <c r="P108" i="9"/>
  <c r="P109" i="9"/>
  <c r="Q105" i="9"/>
  <c r="J110" i="9"/>
  <c r="P95" i="9"/>
  <c r="P96" i="9"/>
  <c r="P97" i="9"/>
  <c r="P98" i="9"/>
  <c r="P99" i="9"/>
  <c r="P100" i="9"/>
  <c r="P101" i="9"/>
  <c r="P102" i="9"/>
  <c r="Q95" i="9"/>
  <c r="J103" i="9"/>
  <c r="P87" i="9"/>
  <c r="P88" i="9"/>
  <c r="P89" i="9"/>
  <c r="P90" i="9"/>
  <c r="P91" i="9"/>
  <c r="P92" i="9"/>
  <c r="Q87" i="9"/>
  <c r="J93" i="9"/>
  <c r="P78" i="9"/>
  <c r="P79" i="9"/>
  <c r="P80" i="9"/>
  <c r="P81" i="9"/>
  <c r="P82" i="9"/>
  <c r="P83" i="9"/>
  <c r="P84" i="9"/>
  <c r="Q78" i="9"/>
  <c r="J85" i="9"/>
  <c r="P70" i="9"/>
  <c r="P71" i="9"/>
  <c r="P72" i="9"/>
  <c r="P73" i="9"/>
  <c r="P74" i="9"/>
  <c r="P75" i="9"/>
  <c r="Q70" i="9"/>
  <c r="J76" i="9"/>
  <c r="P65" i="9"/>
  <c r="P62" i="9"/>
  <c r="P63" i="9"/>
  <c r="P64" i="9"/>
  <c r="P66" i="9"/>
  <c r="P67" i="9"/>
  <c r="J68" i="9"/>
  <c r="Q62" i="9"/>
  <c r="P54" i="9"/>
  <c r="P57" i="9"/>
  <c r="P51" i="9"/>
  <c r="P52" i="9"/>
  <c r="P53" i="9"/>
  <c r="P58" i="9"/>
  <c r="P59" i="9"/>
  <c r="P55" i="9"/>
  <c r="P56" i="9"/>
  <c r="Q51" i="9"/>
  <c r="J60" i="9"/>
  <c r="P41" i="9"/>
  <c r="P45" i="9"/>
  <c r="P48" i="9"/>
  <c r="P46" i="9"/>
  <c r="P47" i="9"/>
  <c r="P42" i="9"/>
  <c r="P43" i="9"/>
  <c r="P44" i="9"/>
  <c r="Q41" i="9"/>
  <c r="J49" i="9"/>
  <c r="P35" i="9"/>
  <c r="P34" i="9"/>
  <c r="P37" i="9"/>
  <c r="P33" i="9"/>
  <c r="P36" i="9"/>
  <c r="P38" i="9"/>
  <c r="Q33" i="9"/>
  <c r="J39" i="9"/>
  <c r="P26" i="9"/>
  <c r="P27" i="9"/>
  <c r="P28" i="9"/>
  <c r="P29" i="9"/>
  <c r="P30" i="9"/>
  <c r="Q26" i="9"/>
  <c r="J31" i="9"/>
  <c r="P20" i="9"/>
  <c r="P22" i="9"/>
  <c r="P19" i="9"/>
  <c r="P21" i="9"/>
  <c r="P23" i="9"/>
  <c r="Q19" i="9"/>
  <c r="J24" i="9"/>
  <c r="P12" i="9"/>
  <c r="P13" i="9"/>
  <c r="P15" i="9"/>
  <c r="P10" i="9"/>
  <c r="P11" i="9"/>
  <c r="P14" i="9"/>
  <c r="P16" i="9"/>
  <c r="J17" i="9"/>
  <c r="Q10" i="9"/>
  <c r="P3" i="9"/>
  <c r="P6" i="9"/>
  <c r="P4" i="9"/>
  <c r="P5" i="9"/>
  <c r="P7" i="9"/>
  <c r="J8" i="9"/>
  <c r="Q3" i="9"/>
  <c r="E12" i="4"/>
  <c r="G7" i="4"/>
  <c r="D6" i="4"/>
  <c r="W105" i="9"/>
  <c r="G12" i="4"/>
  <c r="C11" i="4"/>
  <c r="F11" i="4"/>
  <c r="F7" i="4"/>
  <c r="E6" i="4"/>
  <c r="C10" i="4"/>
  <c r="D10" i="4"/>
  <c r="F10" i="4"/>
  <c r="E10" i="4"/>
  <c r="G10" i="4"/>
  <c r="C9" i="4"/>
  <c r="F9" i="4"/>
  <c r="C5" i="4"/>
  <c r="C15" i="4" s="1"/>
  <c r="D5" i="4"/>
  <c r="F5" i="4"/>
  <c r="F15" i="4" s="1"/>
  <c r="E5" i="4"/>
  <c r="G5" i="4"/>
  <c r="G15" i="4" s="1"/>
  <c r="D7" i="4"/>
  <c r="E7" i="4"/>
  <c r="W148" i="11" l="1"/>
  <c r="AC148" i="11"/>
  <c r="W147" i="11"/>
  <c r="AC147" i="11"/>
  <c r="W146" i="11"/>
  <c r="AC146" i="11"/>
  <c r="U145" i="11"/>
  <c r="P149" i="11"/>
  <c r="Q146" i="11"/>
  <c r="U146" i="11"/>
  <c r="Q147" i="11"/>
  <c r="U147" i="11"/>
  <c r="Q148" i="11"/>
  <c r="U148" i="11"/>
  <c r="V145" i="11"/>
  <c r="W142" i="11"/>
  <c r="AC142" i="11"/>
  <c r="U141" i="11"/>
  <c r="P143" i="11"/>
  <c r="Q142" i="11"/>
  <c r="Q143" i="11" s="1"/>
  <c r="U142" i="11"/>
  <c r="V141" i="11"/>
  <c r="W138" i="11"/>
  <c r="AC138" i="11"/>
  <c r="W137" i="11"/>
  <c r="AC137" i="11"/>
  <c r="W136" i="11"/>
  <c r="AC136" i="11"/>
  <c r="U135" i="11"/>
  <c r="P139" i="11"/>
  <c r="Q136" i="11"/>
  <c r="Q139" i="11" s="1"/>
  <c r="U136" i="11"/>
  <c r="Q137" i="11"/>
  <c r="U137" i="11"/>
  <c r="Q138" i="11"/>
  <c r="U138" i="11"/>
  <c r="V135" i="11"/>
  <c r="W132" i="11"/>
  <c r="AC132" i="11"/>
  <c r="W131" i="11"/>
  <c r="AC131" i="11"/>
  <c r="W130" i="11"/>
  <c r="AC130" i="11"/>
  <c r="W129" i="11"/>
  <c r="AC129" i="11"/>
  <c r="W128" i="11"/>
  <c r="AC128" i="11"/>
  <c r="U127" i="11"/>
  <c r="P133" i="11"/>
  <c r="Q128" i="11"/>
  <c r="U128" i="11"/>
  <c r="Q129" i="11"/>
  <c r="U129" i="11"/>
  <c r="Q130" i="11"/>
  <c r="U130" i="11"/>
  <c r="Q131" i="11"/>
  <c r="U131" i="11"/>
  <c r="Q132" i="11"/>
  <c r="U132" i="11"/>
  <c r="V127" i="11"/>
  <c r="W124" i="11"/>
  <c r="AC124" i="11"/>
  <c r="W123" i="11"/>
  <c r="AC123" i="11"/>
  <c r="W122" i="11"/>
  <c r="AC122" i="11"/>
  <c r="W121" i="11"/>
  <c r="AC121" i="11"/>
  <c r="W120" i="11"/>
  <c r="AC120" i="11"/>
  <c r="W119" i="11"/>
  <c r="AC119" i="11"/>
  <c r="U118" i="11"/>
  <c r="P125" i="11"/>
  <c r="Q119" i="11"/>
  <c r="U119" i="11"/>
  <c r="Q120" i="11"/>
  <c r="U120" i="11"/>
  <c r="Q121" i="11"/>
  <c r="U121" i="11"/>
  <c r="Q122" i="11"/>
  <c r="U122" i="11"/>
  <c r="Q123" i="11"/>
  <c r="U123" i="11"/>
  <c r="Q124" i="11"/>
  <c r="U124" i="11"/>
  <c r="V118" i="11"/>
  <c r="W115" i="11"/>
  <c r="AC115" i="11"/>
  <c r="W114" i="11"/>
  <c r="AC114" i="11"/>
  <c r="AC113" i="11"/>
  <c r="W113" i="11"/>
  <c r="U112" i="11"/>
  <c r="P116" i="11"/>
  <c r="Q114" i="11"/>
  <c r="U114" i="11"/>
  <c r="Q113" i="11"/>
  <c r="U113" i="11"/>
  <c r="Q115" i="11"/>
  <c r="U115" i="11"/>
  <c r="V112" i="11"/>
  <c r="W109" i="11"/>
  <c r="AC109" i="11"/>
  <c r="W108" i="11"/>
  <c r="AC108" i="11"/>
  <c r="W107" i="11"/>
  <c r="AC107" i="11"/>
  <c r="W106" i="11"/>
  <c r="AC106" i="11"/>
  <c r="U105" i="11"/>
  <c r="P110" i="11"/>
  <c r="Q106" i="11"/>
  <c r="U106" i="11"/>
  <c r="Q107" i="11"/>
  <c r="U107" i="11"/>
  <c r="Q108" i="11"/>
  <c r="U108" i="11"/>
  <c r="Q109" i="11"/>
  <c r="U109" i="11"/>
  <c r="V105" i="11"/>
  <c r="W102" i="11"/>
  <c r="AC102" i="11"/>
  <c r="W101" i="11"/>
  <c r="AC101" i="11"/>
  <c r="W100" i="11"/>
  <c r="AC100" i="11"/>
  <c r="W99" i="11"/>
  <c r="AC99" i="11"/>
  <c r="W98" i="11"/>
  <c r="AC98" i="11"/>
  <c r="W97" i="11"/>
  <c r="AC97" i="11"/>
  <c r="W96" i="11"/>
  <c r="AC96" i="11"/>
  <c r="U95" i="11"/>
  <c r="P103" i="11"/>
  <c r="Q96" i="11"/>
  <c r="U96" i="11"/>
  <c r="Q97" i="11"/>
  <c r="U97" i="11"/>
  <c r="Q98" i="11"/>
  <c r="U98" i="11"/>
  <c r="Q99" i="11"/>
  <c r="U99" i="11"/>
  <c r="Q100" i="11"/>
  <c r="U100" i="11"/>
  <c r="Q101" i="11"/>
  <c r="U101" i="11"/>
  <c r="Q102" i="11"/>
  <c r="U102" i="11"/>
  <c r="V95" i="11"/>
  <c r="W92" i="11"/>
  <c r="AC92" i="11"/>
  <c r="W91" i="11"/>
  <c r="AC91" i="11"/>
  <c r="W90" i="11"/>
  <c r="AC90" i="11"/>
  <c r="W89" i="11"/>
  <c r="AC89" i="11"/>
  <c r="W88" i="11"/>
  <c r="AC88" i="11"/>
  <c r="U87" i="11"/>
  <c r="P93" i="11"/>
  <c r="Q88" i="11"/>
  <c r="U88" i="11"/>
  <c r="Q89" i="11"/>
  <c r="U89" i="11"/>
  <c r="Q90" i="11"/>
  <c r="U90" i="11"/>
  <c r="Q91" i="11"/>
  <c r="U91" i="11"/>
  <c r="Q92" i="11"/>
  <c r="U92" i="11"/>
  <c r="V87" i="11"/>
  <c r="W84" i="11"/>
  <c r="AC84" i="11"/>
  <c r="W83" i="11"/>
  <c r="AC83" i="11"/>
  <c r="W82" i="11"/>
  <c r="AC82" i="11"/>
  <c r="W81" i="11"/>
  <c r="AC81" i="11"/>
  <c r="W80" i="11"/>
  <c r="AC80" i="11"/>
  <c r="W79" i="11"/>
  <c r="AC79" i="11"/>
  <c r="U78" i="11"/>
  <c r="P85" i="11"/>
  <c r="Q79" i="11"/>
  <c r="U79" i="11"/>
  <c r="Q80" i="11"/>
  <c r="U80" i="11"/>
  <c r="Q81" i="11"/>
  <c r="U81" i="11"/>
  <c r="Q82" i="11"/>
  <c r="U82" i="11"/>
  <c r="Q83" i="11"/>
  <c r="U83" i="11"/>
  <c r="Q84" i="11"/>
  <c r="U84" i="11"/>
  <c r="V78" i="11"/>
  <c r="W75" i="11"/>
  <c r="AC75" i="11"/>
  <c r="W74" i="11"/>
  <c r="AC74" i="11"/>
  <c r="W73" i="11"/>
  <c r="AC73" i="11"/>
  <c r="W72" i="11"/>
  <c r="AC72" i="11"/>
  <c r="W71" i="11"/>
  <c r="AC71" i="11"/>
  <c r="U70" i="11"/>
  <c r="P76" i="11"/>
  <c r="Q71" i="11"/>
  <c r="U71" i="11"/>
  <c r="Q72" i="11"/>
  <c r="U72" i="11"/>
  <c r="Q73" i="11"/>
  <c r="U73" i="11"/>
  <c r="Q74" i="11"/>
  <c r="U74" i="11"/>
  <c r="Q75" i="11"/>
  <c r="U75" i="11"/>
  <c r="V70" i="11"/>
  <c r="W67" i="11"/>
  <c r="AC67" i="11"/>
  <c r="W66" i="11"/>
  <c r="AC66" i="11"/>
  <c r="W65" i="11"/>
  <c r="AC65" i="11"/>
  <c r="AC64" i="11"/>
  <c r="W64" i="11"/>
  <c r="W63" i="11"/>
  <c r="AC63" i="11"/>
  <c r="Q64" i="11"/>
  <c r="U64" i="11"/>
  <c r="Q66" i="11"/>
  <c r="U66" i="11"/>
  <c r="P68" i="11"/>
  <c r="U62" i="11"/>
  <c r="Q63" i="11"/>
  <c r="U63" i="11"/>
  <c r="Q65" i="11"/>
  <c r="U65" i="11"/>
  <c r="Q67" i="11"/>
  <c r="U67" i="11"/>
  <c r="V62" i="11"/>
  <c r="W59" i="11"/>
  <c r="AC59" i="11"/>
  <c r="W58" i="11"/>
  <c r="AC58" i="11"/>
  <c r="AC57" i="11"/>
  <c r="W57" i="11"/>
  <c r="AC56" i="11"/>
  <c r="W56" i="11"/>
  <c r="W55" i="11"/>
  <c r="AC55" i="11"/>
  <c r="W54" i="11"/>
  <c r="AC54" i="11"/>
  <c r="W53" i="11"/>
  <c r="AC53" i="11"/>
  <c r="W52" i="11"/>
  <c r="AC52" i="11"/>
  <c r="Q52" i="11"/>
  <c r="U52" i="11"/>
  <c r="Q55" i="11"/>
  <c r="U55" i="11"/>
  <c r="Q58" i="11"/>
  <c r="U58" i="11"/>
  <c r="Q59" i="11"/>
  <c r="U59" i="11"/>
  <c r="U51" i="11"/>
  <c r="P60" i="11"/>
  <c r="Q53" i="11"/>
  <c r="U53" i="11"/>
  <c r="Q54" i="11"/>
  <c r="U54" i="11"/>
  <c r="Q56" i="11"/>
  <c r="U56" i="11"/>
  <c r="Q57" i="11"/>
  <c r="U57" i="11"/>
  <c r="V51" i="11"/>
  <c r="W48" i="11"/>
  <c r="AC48" i="11"/>
  <c r="W47" i="11"/>
  <c r="AC47" i="11"/>
  <c r="W46" i="11"/>
  <c r="AC46" i="11"/>
  <c r="AC45" i="11"/>
  <c r="W45" i="11"/>
  <c r="AC44" i="11"/>
  <c r="W44" i="11"/>
  <c r="AC43" i="11"/>
  <c r="W43" i="11"/>
  <c r="W42" i="11"/>
  <c r="AC42" i="11"/>
  <c r="P49" i="11"/>
  <c r="U41" i="11"/>
  <c r="Q44" i="11"/>
  <c r="U44" i="11"/>
  <c r="Q45" i="11"/>
  <c r="U45" i="11"/>
  <c r="Q46" i="11"/>
  <c r="U46" i="11"/>
  <c r="Q48" i="11"/>
  <c r="U48" i="11"/>
  <c r="Q42" i="11"/>
  <c r="U42" i="11"/>
  <c r="Q43" i="11"/>
  <c r="U43" i="11"/>
  <c r="Q47" i="11"/>
  <c r="U47" i="11"/>
  <c r="V41" i="11"/>
  <c r="AC38" i="11"/>
  <c r="W38" i="11"/>
  <c r="W37" i="11"/>
  <c r="AC37" i="11"/>
  <c r="W36" i="11"/>
  <c r="AC36" i="11"/>
  <c r="W35" i="11"/>
  <c r="AC35" i="11"/>
  <c r="W34" i="11"/>
  <c r="AC34" i="11"/>
  <c r="P39" i="11"/>
  <c r="U33" i="11"/>
  <c r="Q34" i="11"/>
  <c r="U34" i="11"/>
  <c r="Q36" i="11"/>
  <c r="U36" i="11"/>
  <c r="Q37" i="11"/>
  <c r="U37" i="11"/>
  <c r="Q35" i="11"/>
  <c r="U35" i="11"/>
  <c r="Q38" i="11"/>
  <c r="U38" i="11"/>
  <c r="V33" i="11"/>
  <c r="W30" i="11"/>
  <c r="AC30" i="11"/>
  <c r="W29" i="11"/>
  <c r="AC29" i="11"/>
  <c r="W28" i="11"/>
  <c r="AC28" i="11"/>
  <c r="W27" i="11"/>
  <c r="AC27" i="11"/>
  <c r="U26" i="11"/>
  <c r="P31" i="11"/>
  <c r="Q27" i="11"/>
  <c r="U27" i="11"/>
  <c r="Q28" i="11"/>
  <c r="U28" i="11"/>
  <c r="Q29" i="11"/>
  <c r="U29" i="11"/>
  <c r="Q30" i="11"/>
  <c r="U30" i="11"/>
  <c r="V26" i="11"/>
  <c r="W23" i="11"/>
  <c r="AC23" i="11"/>
  <c r="AC22" i="11"/>
  <c r="W22" i="11"/>
  <c r="W21" i="11"/>
  <c r="AC21" i="11"/>
  <c r="W20" i="11"/>
  <c r="AC20" i="11"/>
  <c r="U19" i="11"/>
  <c r="P24" i="11"/>
  <c r="Q21" i="11"/>
  <c r="U21" i="11"/>
  <c r="Q22" i="11"/>
  <c r="U22" i="11"/>
  <c r="Q23" i="11"/>
  <c r="U23" i="11"/>
  <c r="Q20" i="11"/>
  <c r="Q24" i="11" s="1"/>
  <c r="U20" i="11"/>
  <c r="V19" i="11"/>
  <c r="AC16" i="11"/>
  <c r="W16" i="11"/>
  <c r="AC15" i="11"/>
  <c r="W15" i="11"/>
  <c r="W14" i="11"/>
  <c r="AC14" i="11"/>
  <c r="AC13" i="11"/>
  <c r="W13" i="11"/>
  <c r="AC12" i="11"/>
  <c r="W12" i="11"/>
  <c r="V11" i="11"/>
  <c r="P17" i="11"/>
  <c r="U10" i="11"/>
  <c r="Q12" i="11"/>
  <c r="U12" i="11"/>
  <c r="Q13" i="11"/>
  <c r="U13" i="11"/>
  <c r="Q15" i="11"/>
  <c r="U15" i="11"/>
  <c r="Q14" i="11"/>
  <c r="U14" i="11"/>
  <c r="Q16" i="11"/>
  <c r="U16" i="11"/>
  <c r="V10" i="11"/>
  <c r="W7" i="11"/>
  <c r="AC7" i="11"/>
  <c r="W6" i="11"/>
  <c r="AC6" i="11"/>
  <c r="W5" i="11"/>
  <c r="AC5" i="11"/>
  <c r="W4" i="11"/>
  <c r="AC4" i="11"/>
  <c r="U3" i="11"/>
  <c r="P8" i="11"/>
  <c r="Q4" i="11"/>
  <c r="U4" i="11"/>
  <c r="Q5" i="11"/>
  <c r="U5" i="11"/>
  <c r="Q6" i="11"/>
  <c r="U6" i="11"/>
  <c r="Q7" i="11"/>
  <c r="U7" i="11"/>
  <c r="V3" i="11"/>
  <c r="X145" i="9"/>
  <c r="P149" i="9"/>
  <c r="X146" i="9"/>
  <c r="Q146" i="9"/>
  <c r="X147" i="9"/>
  <c r="Q147" i="9"/>
  <c r="X148" i="9"/>
  <c r="Q148" i="9"/>
  <c r="X141" i="9"/>
  <c r="X143" i="9" s="1"/>
  <c r="E25" i="7" s="1"/>
  <c r="P143" i="9"/>
  <c r="X142" i="9"/>
  <c r="Q142" i="9"/>
  <c r="Q143" i="9" s="1"/>
  <c r="X135" i="9"/>
  <c r="P139" i="9"/>
  <c r="X136" i="9"/>
  <c r="Q136" i="9"/>
  <c r="X137" i="9"/>
  <c r="Q137" i="9"/>
  <c r="X138" i="9"/>
  <c r="Q138" i="9"/>
  <c r="X127" i="9"/>
  <c r="P133" i="9"/>
  <c r="X128" i="9"/>
  <c r="Q128" i="9"/>
  <c r="X129" i="9"/>
  <c r="Q129" i="9"/>
  <c r="X130" i="9"/>
  <c r="Q130" i="9"/>
  <c r="X131" i="9"/>
  <c r="Q131" i="9"/>
  <c r="X132" i="9"/>
  <c r="Q132" i="9"/>
  <c r="X118" i="9"/>
  <c r="P125" i="9"/>
  <c r="X119" i="9"/>
  <c r="Q119" i="9"/>
  <c r="X120" i="9"/>
  <c r="Q120" i="9"/>
  <c r="X121" i="9"/>
  <c r="Q121" i="9"/>
  <c r="X122" i="9"/>
  <c r="Q122" i="9"/>
  <c r="X123" i="9"/>
  <c r="Q123" i="9"/>
  <c r="X124" i="9"/>
  <c r="Q124" i="9"/>
  <c r="X112" i="9"/>
  <c r="P116" i="9"/>
  <c r="X113" i="9"/>
  <c r="Q113" i="9"/>
  <c r="X114" i="9"/>
  <c r="Q114" i="9"/>
  <c r="X115" i="9"/>
  <c r="Q115" i="9"/>
  <c r="X106" i="9"/>
  <c r="Q106" i="9"/>
  <c r="X107" i="9"/>
  <c r="Q107" i="9"/>
  <c r="X108" i="9"/>
  <c r="Q108" i="9"/>
  <c r="X109" i="9"/>
  <c r="Q109" i="9"/>
  <c r="X95" i="9"/>
  <c r="P103" i="9"/>
  <c r="X96" i="9"/>
  <c r="Q96" i="9"/>
  <c r="X97" i="9"/>
  <c r="Q97" i="9"/>
  <c r="X98" i="9"/>
  <c r="Q98" i="9"/>
  <c r="X99" i="9"/>
  <c r="Q99" i="9"/>
  <c r="X100" i="9"/>
  <c r="Q100" i="9"/>
  <c r="X101" i="9"/>
  <c r="Q101" i="9"/>
  <c r="X102" i="9"/>
  <c r="Q102" i="9"/>
  <c r="X87" i="9"/>
  <c r="P93" i="9"/>
  <c r="X88" i="9"/>
  <c r="Q88" i="9"/>
  <c r="X89" i="9"/>
  <c r="Q89" i="9"/>
  <c r="X90" i="9"/>
  <c r="Q90" i="9"/>
  <c r="X91" i="9"/>
  <c r="Q91" i="9"/>
  <c r="X92" i="9"/>
  <c r="Q92" i="9"/>
  <c r="X78" i="9"/>
  <c r="P85" i="9"/>
  <c r="X79" i="9"/>
  <c r="Q79" i="9"/>
  <c r="X80" i="9"/>
  <c r="Q80" i="9"/>
  <c r="X81" i="9"/>
  <c r="Q81" i="9"/>
  <c r="X82" i="9"/>
  <c r="Q82" i="9"/>
  <c r="X83" i="9"/>
  <c r="Q83" i="9"/>
  <c r="X84" i="9"/>
  <c r="Q84" i="9"/>
  <c r="X70" i="9"/>
  <c r="P76" i="9"/>
  <c r="X71" i="9"/>
  <c r="Q71" i="9"/>
  <c r="X72" i="9"/>
  <c r="Q72" i="9"/>
  <c r="X73" i="9"/>
  <c r="Q73" i="9"/>
  <c r="X74" i="9"/>
  <c r="Q74" i="9"/>
  <c r="X75" i="9"/>
  <c r="Q75" i="9"/>
  <c r="X65" i="9"/>
  <c r="Q65" i="9"/>
  <c r="X62" i="9"/>
  <c r="P68" i="9"/>
  <c r="X63" i="9"/>
  <c r="Q63" i="9"/>
  <c r="X64" i="9"/>
  <c r="Q64" i="9"/>
  <c r="X66" i="9"/>
  <c r="Q66" i="9"/>
  <c r="X67" i="9"/>
  <c r="Q67" i="9"/>
  <c r="X54" i="9"/>
  <c r="Q54" i="9"/>
  <c r="X57" i="9"/>
  <c r="Q57" i="9"/>
  <c r="X51" i="9"/>
  <c r="P60" i="9"/>
  <c r="X52" i="9"/>
  <c r="Q52" i="9"/>
  <c r="X53" i="9"/>
  <c r="Q53" i="9"/>
  <c r="X58" i="9"/>
  <c r="Q58" i="9"/>
  <c r="X59" i="9"/>
  <c r="Q59" i="9"/>
  <c r="X55" i="9"/>
  <c r="Q55" i="9"/>
  <c r="X56" i="9"/>
  <c r="Q56" i="9"/>
  <c r="X41" i="9"/>
  <c r="P49" i="9"/>
  <c r="X45" i="9"/>
  <c r="Q45" i="9"/>
  <c r="X48" i="9"/>
  <c r="Q48" i="9"/>
  <c r="X46" i="9"/>
  <c r="Q46" i="9"/>
  <c r="X47" i="9"/>
  <c r="Q47" i="9"/>
  <c r="X42" i="9"/>
  <c r="Q42" i="9"/>
  <c r="X43" i="9"/>
  <c r="Q43" i="9"/>
  <c r="X44" i="9"/>
  <c r="Q44" i="9"/>
  <c r="X35" i="9"/>
  <c r="Q35" i="9"/>
  <c r="X34" i="9"/>
  <c r="Q34" i="9"/>
  <c r="X37" i="9"/>
  <c r="Q37" i="9"/>
  <c r="X33" i="9"/>
  <c r="P39" i="9"/>
  <c r="X36" i="9"/>
  <c r="Q36" i="9"/>
  <c r="X38" i="9"/>
  <c r="Q38" i="9"/>
  <c r="X26" i="9"/>
  <c r="P31" i="9"/>
  <c r="X27" i="9"/>
  <c r="Q27" i="9"/>
  <c r="X28" i="9"/>
  <c r="Q28" i="9"/>
  <c r="X29" i="9"/>
  <c r="Q29" i="9"/>
  <c r="X30" i="9"/>
  <c r="Q30" i="9"/>
  <c r="X20" i="9"/>
  <c r="Q20" i="9"/>
  <c r="X22" i="9"/>
  <c r="Q22" i="9"/>
  <c r="X19" i="9"/>
  <c r="P24" i="9"/>
  <c r="X21" i="9"/>
  <c r="Q21" i="9"/>
  <c r="X23" i="9"/>
  <c r="Q23" i="9"/>
  <c r="X12" i="9"/>
  <c r="Q12" i="9"/>
  <c r="X13" i="9"/>
  <c r="Q13" i="9"/>
  <c r="X15" i="9"/>
  <c r="Q15" i="9"/>
  <c r="X10" i="9"/>
  <c r="P17" i="9"/>
  <c r="X11" i="9"/>
  <c r="Q11" i="9"/>
  <c r="X14" i="9"/>
  <c r="Q14" i="9"/>
  <c r="X16" i="9"/>
  <c r="Q16" i="9"/>
  <c r="X3" i="9"/>
  <c r="P8" i="9"/>
  <c r="X6" i="9"/>
  <c r="Q6" i="9"/>
  <c r="X4" i="9"/>
  <c r="Q4" i="9"/>
  <c r="X5" i="9"/>
  <c r="Q5" i="9"/>
  <c r="X7" i="9"/>
  <c r="Q7" i="9"/>
  <c r="C49" i="8"/>
  <c r="D19" i="4"/>
  <c r="C52" i="8"/>
  <c r="E20" i="4"/>
  <c r="P110" i="9"/>
  <c r="X105" i="9"/>
  <c r="X110" i="9" s="1"/>
  <c r="E20" i="7" s="1"/>
  <c r="D15" i="4"/>
  <c r="E15" i="4"/>
  <c r="U11" i="11"/>
  <c r="Q11" i="11"/>
  <c r="Q17" i="11" s="1"/>
  <c r="AA148" i="11" l="1"/>
  <c r="Z148" i="11"/>
  <c r="Y148" i="11"/>
  <c r="AB148" i="11" s="1"/>
  <c r="AD148" i="11" s="1"/>
  <c r="X148" i="11"/>
  <c r="AA147" i="11"/>
  <c r="Z147" i="11"/>
  <c r="Y147" i="11"/>
  <c r="AB147" i="11" s="1"/>
  <c r="AD147" i="11" s="1"/>
  <c r="X147" i="11"/>
  <c r="AA146" i="11"/>
  <c r="Z146" i="11"/>
  <c r="Y146" i="11"/>
  <c r="AB146" i="11" s="1"/>
  <c r="AD146" i="11" s="1"/>
  <c r="X146" i="11"/>
  <c r="W145" i="11"/>
  <c r="AC145" i="11"/>
  <c r="AA142" i="11"/>
  <c r="Z142" i="11"/>
  <c r="Y142" i="11"/>
  <c r="AB142" i="11" s="1"/>
  <c r="AD142" i="11" s="1"/>
  <c r="X142" i="11"/>
  <c r="W141" i="11"/>
  <c r="AC141" i="11"/>
  <c r="AA138" i="11"/>
  <c r="Z138" i="11"/>
  <c r="Y138" i="11"/>
  <c r="AB138" i="11" s="1"/>
  <c r="AD138" i="11" s="1"/>
  <c r="X138" i="11"/>
  <c r="AA137" i="11"/>
  <c r="Z137" i="11"/>
  <c r="Y137" i="11"/>
  <c r="AB137" i="11" s="1"/>
  <c r="AD137" i="11" s="1"/>
  <c r="X137" i="11"/>
  <c r="AA136" i="11"/>
  <c r="Z136" i="11"/>
  <c r="Y136" i="11"/>
  <c r="AB136" i="11" s="1"/>
  <c r="AD136" i="11" s="1"/>
  <c r="X136" i="11"/>
  <c r="W135" i="11"/>
  <c r="AC135" i="11"/>
  <c r="AA132" i="11"/>
  <c r="Z132" i="11"/>
  <c r="Y132" i="11"/>
  <c r="AB132" i="11" s="1"/>
  <c r="AD132" i="11" s="1"/>
  <c r="X132" i="11"/>
  <c r="AA131" i="11"/>
  <c r="Z131" i="11"/>
  <c r="Y131" i="11"/>
  <c r="AB131" i="11" s="1"/>
  <c r="AD131" i="11" s="1"/>
  <c r="X131" i="11"/>
  <c r="AA130" i="11"/>
  <c r="Z130" i="11"/>
  <c r="Y130" i="11"/>
  <c r="AB130" i="11" s="1"/>
  <c r="AD130" i="11" s="1"/>
  <c r="X130" i="11"/>
  <c r="AA129" i="11"/>
  <c r="Z129" i="11"/>
  <c r="Y129" i="11"/>
  <c r="AB129" i="11" s="1"/>
  <c r="AD129" i="11" s="1"/>
  <c r="X129" i="11"/>
  <c r="AA128" i="11"/>
  <c r="Z128" i="11"/>
  <c r="Y128" i="11"/>
  <c r="AB128" i="11" s="1"/>
  <c r="AD128" i="11" s="1"/>
  <c r="X128" i="11"/>
  <c r="W127" i="11"/>
  <c r="AC127" i="11"/>
  <c r="AA124" i="11"/>
  <c r="Z124" i="11"/>
  <c r="Y124" i="11"/>
  <c r="AB124" i="11" s="1"/>
  <c r="AD124" i="11" s="1"/>
  <c r="X124" i="11"/>
  <c r="AA123" i="11"/>
  <c r="Z123" i="11"/>
  <c r="Y123" i="11"/>
  <c r="AB123" i="11" s="1"/>
  <c r="AD123" i="11" s="1"/>
  <c r="X123" i="11"/>
  <c r="AA122" i="11"/>
  <c r="Z122" i="11"/>
  <c r="Y122" i="11"/>
  <c r="AB122" i="11" s="1"/>
  <c r="AD122" i="11" s="1"/>
  <c r="X122" i="11"/>
  <c r="AA121" i="11"/>
  <c r="Z121" i="11"/>
  <c r="Y121" i="11"/>
  <c r="AB121" i="11" s="1"/>
  <c r="AD121" i="11" s="1"/>
  <c r="X121" i="11"/>
  <c r="AA120" i="11"/>
  <c r="Z120" i="11"/>
  <c r="Y120" i="11"/>
  <c r="AB120" i="11" s="1"/>
  <c r="AD120" i="11" s="1"/>
  <c r="X120" i="11"/>
  <c r="AA119" i="11"/>
  <c r="Z119" i="11"/>
  <c r="Y119" i="11"/>
  <c r="AB119" i="11" s="1"/>
  <c r="AD119" i="11" s="1"/>
  <c r="X119" i="11"/>
  <c r="W118" i="11"/>
  <c r="AC118" i="11"/>
  <c r="AA115" i="11"/>
  <c r="X115" i="11"/>
  <c r="Z115" i="11"/>
  <c r="Y115" i="11"/>
  <c r="AB115" i="11" s="1"/>
  <c r="AD115" i="11" s="1"/>
  <c r="AA114" i="11"/>
  <c r="Y114" i="11"/>
  <c r="AB114" i="11" s="1"/>
  <c r="AD114" i="11" s="1"/>
  <c r="Z114" i="11"/>
  <c r="X114" i="11"/>
  <c r="AA113" i="11"/>
  <c r="Z113" i="11"/>
  <c r="X113" i="11"/>
  <c r="Y113" i="11"/>
  <c r="AB113" i="11" s="1"/>
  <c r="AD113" i="11" s="1"/>
  <c r="W112" i="11"/>
  <c r="AC112" i="11"/>
  <c r="AA109" i="11"/>
  <c r="Z109" i="11"/>
  <c r="Y109" i="11"/>
  <c r="AB109" i="11" s="1"/>
  <c r="AD109" i="11" s="1"/>
  <c r="X109" i="11"/>
  <c r="AA108" i="11"/>
  <c r="Z108" i="11"/>
  <c r="Y108" i="11"/>
  <c r="AB108" i="11" s="1"/>
  <c r="AD108" i="11" s="1"/>
  <c r="X108" i="11"/>
  <c r="AA107" i="11"/>
  <c r="Z107" i="11"/>
  <c r="Y107" i="11"/>
  <c r="AB107" i="11" s="1"/>
  <c r="AD107" i="11" s="1"/>
  <c r="X107" i="11"/>
  <c r="AA106" i="11"/>
  <c r="Z106" i="11"/>
  <c r="Y106" i="11"/>
  <c r="AB106" i="11" s="1"/>
  <c r="AD106" i="11" s="1"/>
  <c r="X106" i="11"/>
  <c r="W105" i="11"/>
  <c r="AC105" i="11"/>
  <c r="AA102" i="11"/>
  <c r="Z102" i="11"/>
  <c r="Y102" i="11"/>
  <c r="AB102" i="11" s="1"/>
  <c r="AD102" i="11" s="1"/>
  <c r="X102" i="11"/>
  <c r="AA101" i="11"/>
  <c r="Z101" i="11"/>
  <c r="Y101" i="11"/>
  <c r="AB101" i="11" s="1"/>
  <c r="AD101" i="11" s="1"/>
  <c r="X101" i="11"/>
  <c r="AA100" i="11"/>
  <c r="Z100" i="11"/>
  <c r="Y100" i="11"/>
  <c r="AB100" i="11" s="1"/>
  <c r="AD100" i="11" s="1"/>
  <c r="X100" i="11"/>
  <c r="AA99" i="11"/>
  <c r="Z99" i="11"/>
  <c r="Y99" i="11"/>
  <c r="AB99" i="11" s="1"/>
  <c r="AD99" i="11" s="1"/>
  <c r="X99" i="11"/>
  <c r="AA98" i="11"/>
  <c r="Z98" i="11"/>
  <c r="X98" i="11"/>
  <c r="Y98" i="11"/>
  <c r="AB98" i="11" s="1"/>
  <c r="AD98" i="11" s="1"/>
  <c r="AA97" i="11"/>
  <c r="Z97" i="11"/>
  <c r="Y97" i="11"/>
  <c r="AB97" i="11" s="1"/>
  <c r="AD97" i="11" s="1"/>
  <c r="X97" i="11"/>
  <c r="AA96" i="11"/>
  <c r="Z96" i="11"/>
  <c r="Y96" i="11"/>
  <c r="AB96" i="11" s="1"/>
  <c r="AD96" i="11" s="1"/>
  <c r="X96" i="11"/>
  <c r="W95" i="11"/>
  <c r="AC95" i="11"/>
  <c r="AA92" i="11"/>
  <c r="Z92" i="11"/>
  <c r="Y92" i="11"/>
  <c r="AB92" i="11" s="1"/>
  <c r="AD92" i="11" s="1"/>
  <c r="X92" i="11"/>
  <c r="AA91" i="11"/>
  <c r="Z91" i="11"/>
  <c r="Y91" i="11"/>
  <c r="AB91" i="11" s="1"/>
  <c r="AD91" i="11" s="1"/>
  <c r="X91" i="11"/>
  <c r="AA90" i="11"/>
  <c r="Z90" i="11"/>
  <c r="Y90" i="11"/>
  <c r="AB90" i="11" s="1"/>
  <c r="AD90" i="11" s="1"/>
  <c r="X90" i="11"/>
  <c r="AA89" i="11"/>
  <c r="Z89" i="11"/>
  <c r="Y89" i="11"/>
  <c r="AB89" i="11" s="1"/>
  <c r="AD89" i="11" s="1"/>
  <c r="X89" i="11"/>
  <c r="Y88" i="11"/>
  <c r="AB88" i="11" s="1"/>
  <c r="AD88" i="11" s="1"/>
  <c r="AA88" i="11"/>
  <c r="Z88" i="11"/>
  <c r="X88" i="11"/>
  <c r="W87" i="11"/>
  <c r="AC87" i="11"/>
  <c r="Y84" i="11"/>
  <c r="AB84" i="11" s="1"/>
  <c r="AD84" i="11" s="1"/>
  <c r="AA84" i="11"/>
  <c r="Z84" i="11"/>
  <c r="X84" i="11"/>
  <c r="Z83" i="11"/>
  <c r="Y83" i="11"/>
  <c r="AB83" i="11" s="1"/>
  <c r="AD83" i="11" s="1"/>
  <c r="X83" i="11"/>
  <c r="AA83" i="11"/>
  <c r="Z82" i="11"/>
  <c r="AA82" i="11"/>
  <c r="Y82" i="11"/>
  <c r="AB82" i="11" s="1"/>
  <c r="AD82" i="11" s="1"/>
  <c r="X82" i="11"/>
  <c r="Z81" i="11"/>
  <c r="AA81" i="11"/>
  <c r="Y81" i="11"/>
  <c r="AB81" i="11" s="1"/>
  <c r="AD81" i="11" s="1"/>
  <c r="X81" i="11"/>
  <c r="AA80" i="11"/>
  <c r="Z80" i="11"/>
  <c r="Y80" i="11"/>
  <c r="AB80" i="11" s="1"/>
  <c r="AD80" i="11" s="1"/>
  <c r="X80" i="11"/>
  <c r="Z79" i="11"/>
  <c r="Y79" i="11"/>
  <c r="AB79" i="11" s="1"/>
  <c r="AD79" i="11" s="1"/>
  <c r="X79" i="11"/>
  <c r="AA79" i="11"/>
  <c r="W78" i="11"/>
  <c r="AC78" i="11"/>
  <c r="AA75" i="11"/>
  <c r="Z75" i="11"/>
  <c r="Y75" i="11"/>
  <c r="AB75" i="11" s="1"/>
  <c r="AD75" i="11" s="1"/>
  <c r="X75" i="11"/>
  <c r="AA74" i="11"/>
  <c r="Y74" i="11"/>
  <c r="AB74" i="11" s="1"/>
  <c r="AD74" i="11" s="1"/>
  <c r="Z74" i="11"/>
  <c r="X74" i="11"/>
  <c r="Z73" i="11"/>
  <c r="X73" i="11"/>
  <c r="AA73" i="11"/>
  <c r="Y73" i="11"/>
  <c r="AB73" i="11" s="1"/>
  <c r="AD73" i="11" s="1"/>
  <c r="AA72" i="11"/>
  <c r="X72" i="11"/>
  <c r="Z72" i="11"/>
  <c r="Y72" i="11"/>
  <c r="AB72" i="11" s="1"/>
  <c r="AD72" i="11" s="1"/>
  <c r="Z71" i="11"/>
  <c r="Y71" i="11"/>
  <c r="AB71" i="11" s="1"/>
  <c r="AD71" i="11" s="1"/>
  <c r="AA71" i="11"/>
  <c r="X71" i="11"/>
  <c r="W70" i="11"/>
  <c r="AC70" i="11"/>
  <c r="Z67" i="11"/>
  <c r="Y67" i="11"/>
  <c r="AB67" i="11" s="1"/>
  <c r="AD67" i="11" s="1"/>
  <c r="X67" i="11"/>
  <c r="AA67" i="11"/>
  <c r="AA66" i="11"/>
  <c r="X66" i="11"/>
  <c r="Z66" i="11"/>
  <c r="Y66" i="11"/>
  <c r="AB66" i="11" s="1"/>
  <c r="AD66" i="11" s="1"/>
  <c r="AA65" i="11"/>
  <c r="Y65" i="11"/>
  <c r="AB65" i="11" s="1"/>
  <c r="AD65" i="11" s="1"/>
  <c r="Z65" i="11"/>
  <c r="X65" i="11"/>
  <c r="AA64" i="11"/>
  <c r="Y64" i="11"/>
  <c r="AB64" i="11" s="1"/>
  <c r="AD64" i="11" s="1"/>
  <c r="Z64" i="11"/>
  <c r="X64" i="11"/>
  <c r="AA63" i="11"/>
  <c r="Y63" i="11"/>
  <c r="AB63" i="11" s="1"/>
  <c r="AD63" i="11" s="1"/>
  <c r="Z63" i="11"/>
  <c r="X63" i="11"/>
  <c r="W62" i="11"/>
  <c r="AC62" i="11"/>
  <c r="AA59" i="11"/>
  <c r="Z59" i="11"/>
  <c r="Y59" i="11"/>
  <c r="AB59" i="11" s="1"/>
  <c r="AD59" i="11" s="1"/>
  <c r="X59" i="11"/>
  <c r="AA58" i="11"/>
  <c r="Z58" i="11"/>
  <c r="Y58" i="11"/>
  <c r="AB58" i="11" s="1"/>
  <c r="AD58" i="11" s="1"/>
  <c r="X58" i="11"/>
  <c r="AA57" i="11"/>
  <c r="Z57" i="11"/>
  <c r="X57" i="11"/>
  <c r="Y57" i="11"/>
  <c r="AB57" i="11" s="1"/>
  <c r="AD57" i="11" s="1"/>
  <c r="Z56" i="11"/>
  <c r="Y56" i="11"/>
  <c r="AB56" i="11" s="1"/>
  <c r="AD56" i="11" s="1"/>
  <c r="AA56" i="11"/>
  <c r="X56" i="11"/>
  <c r="Z55" i="11"/>
  <c r="X55" i="11"/>
  <c r="AA55" i="11"/>
  <c r="Y55" i="11"/>
  <c r="AB55" i="11" s="1"/>
  <c r="AD55" i="11" s="1"/>
  <c r="Z54" i="11"/>
  <c r="Y54" i="11"/>
  <c r="AB54" i="11" s="1"/>
  <c r="AD54" i="11" s="1"/>
  <c r="AA54" i="11"/>
  <c r="X54" i="11"/>
  <c r="AA53" i="11"/>
  <c r="Y53" i="11"/>
  <c r="AB53" i="11" s="1"/>
  <c r="AD53" i="11" s="1"/>
  <c r="Z53" i="11"/>
  <c r="X53" i="11"/>
  <c r="AA52" i="11"/>
  <c r="Y52" i="11"/>
  <c r="AB52" i="11" s="1"/>
  <c r="AD52" i="11" s="1"/>
  <c r="Z52" i="11"/>
  <c r="X52" i="11"/>
  <c r="W51" i="11"/>
  <c r="AC51" i="11"/>
  <c r="AA48" i="11"/>
  <c r="Y48" i="11"/>
  <c r="AB48" i="11" s="1"/>
  <c r="AD48" i="11" s="1"/>
  <c r="Z48" i="11"/>
  <c r="X48" i="11"/>
  <c r="AA47" i="11"/>
  <c r="Y47" i="11"/>
  <c r="AB47" i="11" s="1"/>
  <c r="AD47" i="11" s="1"/>
  <c r="Z47" i="11"/>
  <c r="X47" i="11"/>
  <c r="Z46" i="11"/>
  <c r="X46" i="11"/>
  <c r="AA46" i="11"/>
  <c r="Y46" i="11"/>
  <c r="AB46" i="11" s="1"/>
  <c r="AD46" i="11" s="1"/>
  <c r="Z45" i="11"/>
  <c r="AA45" i="11"/>
  <c r="Y45" i="11"/>
  <c r="AB45" i="11" s="1"/>
  <c r="AD45" i="11" s="1"/>
  <c r="X45" i="11"/>
  <c r="AA44" i="11"/>
  <c r="Y44" i="11"/>
  <c r="AB44" i="11" s="1"/>
  <c r="AD44" i="11" s="1"/>
  <c r="Z44" i="11"/>
  <c r="X44" i="11"/>
  <c r="Z43" i="11"/>
  <c r="AA43" i="11"/>
  <c r="Y43" i="11"/>
  <c r="AB43" i="11" s="1"/>
  <c r="AD43" i="11" s="1"/>
  <c r="X43" i="11"/>
  <c r="AA42" i="11"/>
  <c r="Y42" i="11"/>
  <c r="AB42" i="11" s="1"/>
  <c r="AD42" i="11" s="1"/>
  <c r="Z42" i="11"/>
  <c r="X42" i="11"/>
  <c r="W41" i="11"/>
  <c r="AC41" i="11"/>
  <c r="AA38" i="11"/>
  <c r="Y38" i="11"/>
  <c r="AB38" i="11" s="1"/>
  <c r="AD38" i="11" s="1"/>
  <c r="Z38" i="11"/>
  <c r="X38" i="11"/>
  <c r="AA37" i="11"/>
  <c r="Y37" i="11"/>
  <c r="AB37" i="11" s="1"/>
  <c r="AD37" i="11" s="1"/>
  <c r="Z37" i="11"/>
  <c r="X37" i="11"/>
  <c r="AA36" i="11"/>
  <c r="Y36" i="11"/>
  <c r="AB36" i="11" s="1"/>
  <c r="AD36" i="11" s="1"/>
  <c r="Z36" i="11"/>
  <c r="X36" i="11"/>
  <c r="Z35" i="11"/>
  <c r="X35" i="11"/>
  <c r="AA35" i="11"/>
  <c r="Y35" i="11"/>
  <c r="AB35" i="11" s="1"/>
  <c r="AD35" i="11" s="1"/>
  <c r="AA34" i="11"/>
  <c r="Y34" i="11"/>
  <c r="AB34" i="11" s="1"/>
  <c r="AD34" i="11" s="1"/>
  <c r="X34" i="11"/>
  <c r="Z34" i="11"/>
  <c r="AC33" i="11"/>
  <c r="W33" i="11"/>
  <c r="AA30" i="11"/>
  <c r="Z30" i="11"/>
  <c r="Y30" i="11"/>
  <c r="AB30" i="11" s="1"/>
  <c r="AD30" i="11" s="1"/>
  <c r="X30" i="11"/>
  <c r="AA29" i="11"/>
  <c r="Z29" i="11"/>
  <c r="Y29" i="11"/>
  <c r="AB29" i="11" s="1"/>
  <c r="AD29" i="11" s="1"/>
  <c r="X29" i="11"/>
  <c r="AA28" i="11"/>
  <c r="Z28" i="11"/>
  <c r="Y28" i="11"/>
  <c r="AB28" i="11" s="1"/>
  <c r="AD28" i="11" s="1"/>
  <c r="X28" i="11"/>
  <c r="AA27" i="11"/>
  <c r="Z27" i="11"/>
  <c r="Y27" i="11"/>
  <c r="AB27" i="11" s="1"/>
  <c r="AD27" i="11" s="1"/>
  <c r="X27" i="11"/>
  <c r="AC26" i="11"/>
  <c r="W26" i="11"/>
  <c r="Z23" i="11"/>
  <c r="X23" i="11"/>
  <c r="AA23" i="11"/>
  <c r="Y23" i="11"/>
  <c r="AB23" i="11" s="1"/>
  <c r="AD23" i="11" s="1"/>
  <c r="Z22" i="11"/>
  <c r="X22" i="11"/>
  <c r="AA22" i="11"/>
  <c r="Y22" i="11"/>
  <c r="AB22" i="11" s="1"/>
  <c r="AD22" i="11" s="1"/>
  <c r="Z21" i="11"/>
  <c r="X21" i="11"/>
  <c r="AA21" i="11"/>
  <c r="Y21" i="11"/>
  <c r="AB21" i="11" s="1"/>
  <c r="AD21" i="11" s="1"/>
  <c r="Z20" i="11"/>
  <c r="X20" i="11"/>
  <c r="AA20" i="11"/>
  <c r="Y20" i="11"/>
  <c r="AB20" i="11" s="1"/>
  <c r="AD20" i="11" s="1"/>
  <c r="W19" i="11"/>
  <c r="AC19" i="11"/>
  <c r="Y16" i="11"/>
  <c r="AB16" i="11" s="1"/>
  <c r="AD16" i="11" s="1"/>
  <c r="AA16" i="11"/>
  <c r="Z16" i="11"/>
  <c r="X16" i="11"/>
  <c r="AA15" i="11"/>
  <c r="Y15" i="11"/>
  <c r="AB15" i="11" s="1"/>
  <c r="AD15" i="11" s="1"/>
  <c r="Z15" i="11"/>
  <c r="X15" i="11"/>
  <c r="AA14" i="11"/>
  <c r="Y14" i="11"/>
  <c r="AB14" i="11" s="1"/>
  <c r="AD14" i="11" s="1"/>
  <c r="Z14" i="11"/>
  <c r="X14" i="11"/>
  <c r="Z13" i="11"/>
  <c r="X13" i="11"/>
  <c r="AA13" i="11"/>
  <c r="Y13" i="11"/>
  <c r="AB13" i="11" s="1"/>
  <c r="AD13" i="11" s="1"/>
  <c r="Z12" i="11"/>
  <c r="X12" i="11"/>
  <c r="AA12" i="11"/>
  <c r="Y12" i="11"/>
  <c r="AB12" i="11" s="1"/>
  <c r="AD12" i="11" s="1"/>
  <c r="W11" i="11"/>
  <c r="AC11" i="11"/>
  <c r="W10" i="11"/>
  <c r="AC10" i="11"/>
  <c r="AA7" i="11"/>
  <c r="Z7" i="11"/>
  <c r="Y7" i="11"/>
  <c r="AB7" i="11" s="1"/>
  <c r="AD7" i="11" s="1"/>
  <c r="X7" i="11"/>
  <c r="AA6" i="11"/>
  <c r="Z6" i="11"/>
  <c r="Y6" i="11"/>
  <c r="AB6" i="11" s="1"/>
  <c r="AD6" i="11" s="1"/>
  <c r="X6" i="11"/>
  <c r="AA5" i="11"/>
  <c r="Z5" i="11"/>
  <c r="Y5" i="11"/>
  <c r="AB5" i="11" s="1"/>
  <c r="AD5" i="11" s="1"/>
  <c r="X5" i="11"/>
  <c r="AA4" i="11"/>
  <c r="Z4" i="11"/>
  <c r="Y4" i="11"/>
  <c r="AB4" i="11" s="1"/>
  <c r="AD4" i="11" s="1"/>
  <c r="X4" i="11"/>
  <c r="W3" i="11"/>
  <c r="AC3" i="11"/>
  <c r="E19" i="4"/>
  <c r="C50" i="8"/>
  <c r="D20" i="4"/>
  <c r="C51" i="8"/>
  <c r="Q116" i="11"/>
  <c r="Q110" i="11"/>
  <c r="Q68" i="11"/>
  <c r="Q60" i="11"/>
  <c r="Q49" i="11"/>
  <c r="Q31" i="11"/>
  <c r="X149" i="9"/>
  <c r="E26" i="7" s="1"/>
  <c r="X139" i="9"/>
  <c r="E24" i="7" s="1"/>
  <c r="Q133" i="9"/>
  <c r="X125" i="9"/>
  <c r="E22" i="7" s="1"/>
  <c r="X116" i="9"/>
  <c r="E21" i="7" s="1"/>
  <c r="Q110" i="9"/>
  <c r="Q103" i="9"/>
  <c r="Q93" i="9"/>
  <c r="Q85" i="9"/>
  <c r="Q76" i="9"/>
  <c r="X60" i="9"/>
  <c r="E11" i="7" s="1"/>
  <c r="Q49" i="9"/>
  <c r="Q31" i="9"/>
  <c r="X24" i="9"/>
  <c r="E7" i="7" s="1"/>
  <c r="Q17" i="9"/>
  <c r="Q133" i="11"/>
  <c r="Q93" i="11"/>
  <c r="Q76" i="11"/>
  <c r="Q39" i="11"/>
  <c r="Q8" i="11"/>
  <c r="Q139" i="9"/>
  <c r="X133" i="9"/>
  <c r="E23" i="7" s="1"/>
  <c r="Q125" i="9"/>
  <c r="X103" i="9"/>
  <c r="E19" i="7" s="1"/>
  <c r="X68" i="9"/>
  <c r="E12" i="7" s="1"/>
  <c r="X49" i="9"/>
  <c r="E10" i="7" s="1"/>
  <c r="Q39" i="9"/>
  <c r="Q149" i="11"/>
  <c r="Q125" i="11"/>
  <c r="Q103" i="11"/>
  <c r="Q85" i="11"/>
  <c r="Q149" i="9"/>
  <c r="Q116" i="9"/>
  <c r="X93" i="9"/>
  <c r="E18" i="7" s="1"/>
  <c r="X85" i="9"/>
  <c r="E14" i="7" s="1"/>
  <c r="X76" i="9"/>
  <c r="E13" i="7" s="1"/>
  <c r="Q68" i="9"/>
  <c r="Q60" i="9"/>
  <c r="X39" i="9"/>
  <c r="E9" i="7" s="1"/>
  <c r="X31" i="9"/>
  <c r="E8" i="7" s="1"/>
  <c r="Q24" i="9"/>
  <c r="X17" i="9"/>
  <c r="E6" i="7" s="1"/>
  <c r="X8" i="9"/>
  <c r="E5" i="7" s="1"/>
  <c r="Q8" i="9"/>
  <c r="E16" i="4"/>
  <c r="C16" i="4"/>
  <c r="F16" i="4"/>
  <c r="D16" i="4"/>
  <c r="C154" i="2" l="1"/>
  <c r="AE148" i="11"/>
  <c r="C153" i="2"/>
  <c r="AE147" i="11"/>
  <c r="C152" i="2"/>
  <c r="AE146" i="11"/>
  <c r="AA145" i="11"/>
  <c r="Z145" i="11"/>
  <c r="X145" i="11"/>
  <c r="Y145" i="11"/>
  <c r="AB145" i="11" s="1"/>
  <c r="AD145" i="11" s="1"/>
  <c r="C148" i="2"/>
  <c r="AE142" i="11"/>
  <c r="Z141" i="11"/>
  <c r="X141" i="11"/>
  <c r="AA141" i="11"/>
  <c r="Y141" i="11"/>
  <c r="AB141" i="11" s="1"/>
  <c r="AD141" i="11" s="1"/>
  <c r="C144" i="2"/>
  <c r="AE138" i="11"/>
  <c r="C143" i="2"/>
  <c r="AE137" i="11"/>
  <c r="C142" i="2"/>
  <c r="AE136" i="11"/>
  <c r="AA135" i="11"/>
  <c r="Z135" i="11"/>
  <c r="Y135" i="11"/>
  <c r="AB135" i="11" s="1"/>
  <c r="AD135" i="11" s="1"/>
  <c r="X135" i="11"/>
  <c r="C138" i="2"/>
  <c r="AE132" i="11"/>
  <c r="C137" i="2"/>
  <c r="AE131" i="11"/>
  <c r="C136" i="2"/>
  <c r="AE130" i="11"/>
  <c r="C135" i="2"/>
  <c r="AE129" i="11"/>
  <c r="C134" i="2"/>
  <c r="AE128" i="11"/>
  <c r="AA127" i="11"/>
  <c r="Y127" i="11"/>
  <c r="AB127" i="11" s="1"/>
  <c r="AD127" i="11" s="1"/>
  <c r="Z127" i="11"/>
  <c r="X127" i="11"/>
  <c r="C130" i="2"/>
  <c r="AE124" i="11"/>
  <c r="C129" i="2"/>
  <c r="AE123" i="11"/>
  <c r="C128" i="2"/>
  <c r="AE122" i="11"/>
  <c r="C127" i="2"/>
  <c r="AE121" i="11"/>
  <c r="C126" i="2"/>
  <c r="AE120" i="11"/>
  <c r="C125" i="2"/>
  <c r="AE119" i="11"/>
  <c r="AA118" i="11"/>
  <c r="X118" i="11"/>
  <c r="Z118" i="11"/>
  <c r="Y118" i="11"/>
  <c r="AB118" i="11" s="1"/>
  <c r="AD118" i="11" s="1"/>
  <c r="C121" i="2"/>
  <c r="AE115" i="11"/>
  <c r="AE114" i="11"/>
  <c r="C120" i="2"/>
  <c r="AE113" i="11"/>
  <c r="C119" i="2"/>
  <c r="Y112" i="11"/>
  <c r="AB112" i="11" s="1"/>
  <c r="AD112" i="11" s="1"/>
  <c r="X112" i="11"/>
  <c r="AA112" i="11"/>
  <c r="Z112" i="11"/>
  <c r="C115" i="2"/>
  <c r="AE109" i="11"/>
  <c r="C114" i="2"/>
  <c r="AE108" i="11"/>
  <c r="C113" i="2"/>
  <c r="AE107" i="11"/>
  <c r="C112" i="2"/>
  <c r="AE106" i="11"/>
  <c r="AA105" i="11"/>
  <c r="Y105" i="11"/>
  <c r="AB105" i="11" s="1"/>
  <c r="AD105" i="11" s="1"/>
  <c r="Z105" i="11"/>
  <c r="X105" i="11"/>
  <c r="C108" i="2"/>
  <c r="AE102" i="11"/>
  <c r="C107" i="2"/>
  <c r="AE101" i="11"/>
  <c r="C106" i="2"/>
  <c r="AE100" i="11"/>
  <c r="C105" i="2"/>
  <c r="AE99" i="11"/>
  <c r="C104" i="2"/>
  <c r="AE98" i="11"/>
  <c r="C103" i="2"/>
  <c r="AE97" i="11"/>
  <c r="C102" i="2"/>
  <c r="AE96" i="11"/>
  <c r="Z95" i="11"/>
  <c r="Y95" i="11"/>
  <c r="AB95" i="11" s="1"/>
  <c r="AD95" i="11" s="1"/>
  <c r="AA95" i="11"/>
  <c r="X95" i="11"/>
  <c r="C98" i="2"/>
  <c r="AE92" i="11"/>
  <c r="C97" i="2"/>
  <c r="AE91" i="11"/>
  <c r="C96" i="2"/>
  <c r="AE90" i="11"/>
  <c r="C95" i="2"/>
  <c r="AE89" i="11"/>
  <c r="C94" i="2"/>
  <c r="AE88" i="11"/>
  <c r="Z87" i="11"/>
  <c r="X87" i="11"/>
  <c r="AA87" i="11"/>
  <c r="Y87" i="11"/>
  <c r="AB87" i="11" s="1"/>
  <c r="AD87" i="11" s="1"/>
  <c r="C89" i="2"/>
  <c r="AE84" i="11"/>
  <c r="C88" i="2"/>
  <c r="AE83" i="11"/>
  <c r="C87" i="2"/>
  <c r="AE82" i="11"/>
  <c r="C86" i="2"/>
  <c r="AE81" i="11"/>
  <c r="C85" i="2"/>
  <c r="AE80" i="11"/>
  <c r="C84" i="2"/>
  <c r="AE79" i="11"/>
  <c r="Z78" i="11"/>
  <c r="X78" i="11"/>
  <c r="AA78" i="11"/>
  <c r="Y78" i="11"/>
  <c r="AB78" i="11" s="1"/>
  <c r="AD78" i="11" s="1"/>
  <c r="C79" i="2"/>
  <c r="AE75" i="11"/>
  <c r="C78" i="2"/>
  <c r="AE74" i="11"/>
  <c r="C77" i="2"/>
  <c r="AE73" i="11"/>
  <c r="C76" i="2"/>
  <c r="AE72" i="11"/>
  <c r="C75" i="2"/>
  <c r="AE71" i="11"/>
  <c r="AA70" i="11"/>
  <c r="Y70" i="11"/>
  <c r="AB70" i="11" s="1"/>
  <c r="AD70" i="11" s="1"/>
  <c r="Z70" i="11"/>
  <c r="X70" i="11"/>
  <c r="C71" i="2"/>
  <c r="AE67" i="11"/>
  <c r="C70" i="2"/>
  <c r="AE66" i="11"/>
  <c r="AE65" i="11"/>
  <c r="C69" i="2"/>
  <c r="C68" i="2"/>
  <c r="AE64" i="11"/>
  <c r="AE63" i="11"/>
  <c r="C67" i="2"/>
  <c r="AA62" i="11"/>
  <c r="Z62" i="11"/>
  <c r="Y62" i="11"/>
  <c r="AB62" i="11" s="1"/>
  <c r="AD62" i="11" s="1"/>
  <c r="X62" i="11"/>
  <c r="C63" i="2"/>
  <c r="AE59" i="11"/>
  <c r="C62" i="2"/>
  <c r="AE58" i="11"/>
  <c r="AE57" i="11"/>
  <c r="C61" i="2"/>
  <c r="AE56" i="11"/>
  <c r="C60" i="2"/>
  <c r="AE55" i="11"/>
  <c r="C59" i="2"/>
  <c r="C58" i="2"/>
  <c r="AE54" i="11"/>
  <c r="C57" i="2"/>
  <c r="AE53" i="11"/>
  <c r="AE52" i="11"/>
  <c r="C56" i="2"/>
  <c r="AA51" i="11"/>
  <c r="Z51" i="11"/>
  <c r="Y51" i="11"/>
  <c r="AB51" i="11" s="1"/>
  <c r="AD51" i="11" s="1"/>
  <c r="X51" i="11"/>
  <c r="AE48" i="11"/>
  <c r="C52" i="2"/>
  <c r="C51" i="2"/>
  <c r="AE47" i="11"/>
  <c r="C50" i="2"/>
  <c r="AE46" i="11"/>
  <c r="C49" i="2"/>
  <c r="AE45" i="11"/>
  <c r="C48" i="2"/>
  <c r="AE44" i="11"/>
  <c r="C47" i="2"/>
  <c r="AE43" i="11"/>
  <c r="C46" i="2"/>
  <c r="AE42" i="11"/>
  <c r="X41" i="11"/>
  <c r="Y41" i="11"/>
  <c r="AB41" i="11" s="1"/>
  <c r="AD41" i="11" s="1"/>
  <c r="Z41" i="11"/>
  <c r="AA41" i="11"/>
  <c r="C41" i="2"/>
  <c r="AE38" i="11"/>
  <c r="AE37" i="11"/>
  <c r="C40" i="2"/>
  <c r="AE36" i="11"/>
  <c r="C39" i="2"/>
  <c r="AE35" i="11"/>
  <c r="C38" i="2"/>
  <c r="C37" i="2"/>
  <c r="AE34" i="11"/>
  <c r="Y33" i="11"/>
  <c r="AB33" i="11" s="1"/>
  <c r="AD33" i="11" s="1"/>
  <c r="X33" i="11"/>
  <c r="AA33" i="11"/>
  <c r="Z33" i="11"/>
  <c r="C33" i="2"/>
  <c r="AE30" i="11"/>
  <c r="C32" i="2"/>
  <c r="AE29" i="11"/>
  <c r="C31" i="2"/>
  <c r="AE28" i="11"/>
  <c r="C30" i="2"/>
  <c r="AE27" i="11"/>
  <c r="AA26" i="11"/>
  <c r="X26" i="11"/>
  <c r="Y26" i="11"/>
  <c r="AB26" i="11" s="1"/>
  <c r="AD26" i="11" s="1"/>
  <c r="Z26" i="11"/>
  <c r="AE23" i="11"/>
  <c r="C26" i="2"/>
  <c r="AE22" i="11"/>
  <c r="C25" i="2"/>
  <c r="AE21" i="11"/>
  <c r="C24" i="2"/>
  <c r="C23" i="2"/>
  <c r="AE20" i="11"/>
  <c r="AA19" i="11"/>
  <c r="Y19" i="11"/>
  <c r="AB19" i="11" s="1"/>
  <c r="AD19" i="11" s="1"/>
  <c r="Z19" i="11"/>
  <c r="X19" i="11"/>
  <c r="C19" i="2"/>
  <c r="AE16" i="11"/>
  <c r="AE15" i="11"/>
  <c r="C18" i="2"/>
  <c r="C17" i="2"/>
  <c r="AE14" i="11"/>
  <c r="C16" i="2"/>
  <c r="AE13" i="11"/>
  <c r="C15" i="2"/>
  <c r="AE12" i="11"/>
  <c r="AA11" i="11"/>
  <c r="Z11" i="11"/>
  <c r="Y11" i="11"/>
  <c r="AB11" i="11" s="1"/>
  <c r="AD11" i="11" s="1"/>
  <c r="X11" i="11"/>
  <c r="X10" i="11"/>
  <c r="Y10" i="11"/>
  <c r="AB10" i="11" s="1"/>
  <c r="AD10" i="11" s="1"/>
  <c r="Z10" i="11"/>
  <c r="AA10" i="11"/>
  <c r="C10" i="2"/>
  <c r="AE7" i="11"/>
  <c r="C9" i="2"/>
  <c r="AE6" i="11"/>
  <c r="C8" i="2"/>
  <c r="AE5" i="11"/>
  <c r="C7" i="2"/>
  <c r="AE4" i="11"/>
  <c r="Z3" i="11"/>
  <c r="X3" i="11"/>
  <c r="AA3" i="11"/>
  <c r="Y3" i="11"/>
  <c r="AB3" i="11" s="1"/>
  <c r="AD3" i="11" s="1"/>
  <c r="D51" i="8"/>
  <c r="E26" i="4"/>
  <c r="D49" i="8"/>
  <c r="E24" i="4"/>
  <c r="D52" i="8"/>
  <c r="E27" i="4"/>
  <c r="D50" i="8"/>
  <c r="E25" i="4"/>
  <c r="C53" i="8"/>
  <c r="F37" i="8" l="1"/>
  <c r="C151" i="2"/>
  <c r="AE145" i="11"/>
  <c r="AE149" i="11" s="1"/>
  <c r="C37" i="8" s="1"/>
  <c r="D37" i="8" s="1"/>
  <c r="F36" i="8"/>
  <c r="C147" i="2"/>
  <c r="AE141" i="11"/>
  <c r="AE143" i="11" s="1"/>
  <c r="C36" i="8" s="1"/>
  <c r="D36" i="8" s="1"/>
  <c r="F35" i="8"/>
  <c r="C141" i="2"/>
  <c r="AE135" i="11"/>
  <c r="AE139" i="11" s="1"/>
  <c r="C35" i="8" s="1"/>
  <c r="D35" i="8" s="1"/>
  <c r="F34" i="8"/>
  <c r="C133" i="2"/>
  <c r="AE127" i="11"/>
  <c r="AE133" i="11" s="1"/>
  <c r="C34" i="8" s="1"/>
  <c r="D34" i="8" s="1"/>
  <c r="F33" i="8"/>
  <c r="C124" i="2"/>
  <c r="AE118" i="11"/>
  <c r="AE125" i="11" s="1"/>
  <c r="C33" i="8" s="1"/>
  <c r="D33" i="8" s="1"/>
  <c r="F32" i="8"/>
  <c r="C118" i="2"/>
  <c r="AE112" i="11"/>
  <c r="AE116" i="11" s="1"/>
  <c r="C32" i="8" s="1"/>
  <c r="D32" i="8" s="1"/>
  <c r="F31" i="8"/>
  <c r="C111" i="2"/>
  <c r="AE105" i="11"/>
  <c r="AE110" i="11" s="1"/>
  <c r="C31" i="8" s="1"/>
  <c r="D31" i="8" s="1"/>
  <c r="F30" i="8"/>
  <c r="C101" i="2"/>
  <c r="AE95" i="11"/>
  <c r="AE103" i="11" s="1"/>
  <c r="C30" i="8" s="1"/>
  <c r="D30" i="8" s="1"/>
  <c r="F29" i="8"/>
  <c r="C93" i="2"/>
  <c r="AE87" i="11"/>
  <c r="AE93" i="11" s="1"/>
  <c r="C29" i="8" s="1"/>
  <c r="F24" i="8"/>
  <c r="C83" i="2"/>
  <c r="AE78" i="11"/>
  <c r="AE85" i="11" s="1"/>
  <c r="C24" i="8" s="1"/>
  <c r="D24" i="8" s="1"/>
  <c r="F23" i="8"/>
  <c r="C74" i="2"/>
  <c r="AE70" i="11"/>
  <c r="AE76" i="11" s="1"/>
  <c r="C23" i="8" s="1"/>
  <c r="D23" i="8" s="1"/>
  <c r="F22" i="8"/>
  <c r="C66" i="2"/>
  <c r="AE62" i="11"/>
  <c r="AE68" i="11" s="1"/>
  <c r="C22" i="8" s="1"/>
  <c r="D22" i="8" s="1"/>
  <c r="F21" i="8"/>
  <c r="C55" i="2"/>
  <c r="AE51" i="11"/>
  <c r="AE60" i="11" s="1"/>
  <c r="C21" i="8" s="1"/>
  <c r="D21" i="8" s="1"/>
  <c r="F20" i="8"/>
  <c r="C45" i="2"/>
  <c r="AE41" i="11"/>
  <c r="AE49" i="11" s="1"/>
  <c r="C20" i="8" s="1"/>
  <c r="D20" i="8" s="1"/>
  <c r="F19" i="8"/>
  <c r="C36" i="2"/>
  <c r="AE33" i="11"/>
  <c r="AE39" i="11" s="1"/>
  <c r="C19" i="8" s="1"/>
  <c r="D19" i="8" s="1"/>
  <c r="F18" i="8"/>
  <c r="C29" i="2"/>
  <c r="AE26" i="11"/>
  <c r="AE31" i="11" s="1"/>
  <c r="C18" i="8" s="1"/>
  <c r="D18" i="8" s="1"/>
  <c r="C22" i="2"/>
  <c r="F17" i="8"/>
  <c r="AE19" i="11"/>
  <c r="AE24" i="11" s="1"/>
  <c r="C17" i="8" s="1"/>
  <c r="D17" i="8" s="1"/>
  <c r="AE11" i="11"/>
  <c r="C14" i="2"/>
  <c r="AE10" i="11"/>
  <c r="AE17" i="11" s="1"/>
  <c r="C16" i="8" s="1"/>
  <c r="D16" i="8" s="1"/>
  <c r="C13" i="2"/>
  <c r="F16" i="8"/>
  <c r="F15" i="8"/>
  <c r="C6" i="2"/>
  <c r="AE3" i="11"/>
  <c r="AE8" i="11" s="1"/>
  <c r="C15" i="8" s="1"/>
  <c r="F25" i="8" l="1"/>
  <c r="D29" i="8"/>
  <c r="C38" i="8"/>
  <c r="D38" i="8" s="1"/>
  <c r="D15" i="8"/>
  <c r="C25" i="8"/>
  <c r="F38" i="8"/>
  <c r="D25" i="8" l="1"/>
  <c r="C44" i="8"/>
</calcChain>
</file>

<file path=xl/sharedStrings.xml><?xml version="1.0" encoding="utf-8"?>
<sst xmlns="http://schemas.openxmlformats.org/spreadsheetml/2006/main" count="2045" uniqueCount="865">
  <si>
    <t>FODA / DAFO / SWOT de viabilidad exportadora – Pymes industriales de Misiones</t>
  </si>
  <si>
    <t>Cuestionario basado en el Modelo Canvas | Investigación de Mercados Internacionales – Tecnicatura Superior en Comercio Exterior | Versión 2026</t>
  </si>
  <si>
    <t>1. Para qué sirve</t>
  </si>
  <si>
    <t>Convierte las respuestas de una entrevista a una pyme industrial en un FODA cuantificado (fortalezas, debilidades, oportunidades y amenazas), en una matriz de cruces FO/FA/DO/DA y en un primer diagnóstico de viabilidad para exportar.</t>
  </si>
  <si>
    <t>2. Cómo se usa (6 pasos)</t>
  </si>
  <si>
    <t>1) Copie este archivo por cada empresa y complete los datos de la empresa en la hoja VIABILIDAD (celdas amarillas).</t>
  </si>
  <si>
    <t>2) Realice la entrevista con la hoja GUIA_ENTREVISTA: cada factor tiene una pregunta abierta y la evidencia a solicitar.</t>
  </si>
  <si>
    <t>3) En FormularioFODA marque con una "x" UNA opción de SITUACIÓN y UNA de IMPACTO por fila (solo se completan las celdas amarillas). La columna Control indica OK / pendiente / revisar.</t>
  </si>
  <si>
    <t>4) Use la columna Mensaje para dejar el fundamento o el dato que respalda la respuesta.</t>
  </si>
  <si>
    <t>5) Revise los resultados en ResumenFODA (gráficos), PART1 FODA (listas de F, D, O, A), PART2 FODA (cruces) y MATRIZ FODA (burbujas).</t>
  </si>
  <si>
    <t>6) Lea la conclusión en VIABILIDAD. Las hojas CalculosFoda, CalculoFoda-1, VariablesFoda y Rango son el motor de cálculo: no se editan.</t>
  </si>
  <si>
    <t>3. Escalas de valoración</t>
  </si>
  <si>
    <t>SITUACIÓN (cómo está la empresa o el entorno hoy): No corresp. = 1 punto y no cuenta como fortaleza ni debilidad | Muy desfavorable = 2 | Desfavorable = 3 | Favorable = 4 | Muy favorable = 5. Fortaleza/Oportunidad = Favorable o Muy favorable. Debilidad/Amenaza = Desfavorable o Muy desfavorable.</t>
  </si>
  <si>
    <t>IMPACTO (cuánto pesa el factor en el negocio exportador): Muy insignificante = 1 | Insignificante = 2 | Significante = 3 | Muy significante = 4. El impacto define el peso relativo del factor dentro de su área.</t>
  </si>
  <si>
    <t>SEMÁFORO (puntos ponderados 0-10): rojo menor a 5 (Alarmante) | amarillo de 5 a 8 (Regular) | verde de 8 a 10 (Bueno).</t>
  </si>
  <si>
    <t>Los factores internos son las 9 casillas del Canvas más un bloque transversal de gestión y compromiso exportador. Los externos cubren entorno político-legal, económico, sociocultural, tecnológico, logístico regional, mercado, proveedores, sustitutos y ambiental/sanitario.</t>
  </si>
  <si>
    <t>4. Ejemplo de carga (una fila del formulario)</t>
  </si>
  <si>
    <t>Variable</t>
  </si>
  <si>
    <t>No corresp.</t>
  </si>
  <si>
    <t>Muy Desfav.</t>
  </si>
  <si>
    <t>Desfavorable</t>
  </si>
  <si>
    <t>Favorable</t>
  </si>
  <si>
    <t>Muy Favorable</t>
  </si>
  <si>
    <t>Muy insignif</t>
  </si>
  <si>
    <t>Insignificante</t>
  </si>
  <si>
    <t>Significante</t>
  </si>
  <si>
    <t>Muy Signific.</t>
  </si>
  <si>
    <t>IB3 - Certificaciones y normas de producto</t>
  </si>
  <si>
    <t>x</t>
  </si>
  <si>
    <t>Lectura del ejemplo: la empresa tiene certificaciones incompletas (Desfavorable), pero son muy importantes para exportar (Significante). Resultado: debilidad de peso alto que aparecerá en PART1 FODA y bajará el puntaje del bloque Propuesta de valor.</t>
  </si>
  <si>
    <t>5. Mapa de hojas</t>
  </si>
  <si>
    <t>FormularioFODA</t>
  </si>
  <si>
    <t>Cuestionario (entrada de datos). Único lugar donde se carga información.</t>
  </si>
  <si>
    <t>GUIA_ENTREVISTA</t>
  </si>
  <si>
    <t>Preguntas abiertas y evidencias para la entrevista (NUEVA).</t>
  </si>
  <si>
    <t>MATRIZ FODA</t>
  </si>
  <si>
    <t>Cuenta los cruces F-O, F-A, D-O, D-A por área y grafica el peso de cada cuadrante.</t>
  </si>
  <si>
    <t>PART2 FODA</t>
  </si>
  <si>
    <t>Matriz cruzada: cada factor interno frente a las variables externas de las que depende. Es dinámica (antes era manual).</t>
  </si>
  <si>
    <t>PART1 FODA</t>
  </si>
  <si>
    <t>Lista de fortalezas/debilidades (internas) y oportunidades/amenazas (externas).</t>
  </si>
  <si>
    <t>ResumenFODA</t>
  </si>
  <si>
    <t>Situación ideal, peor y actual por área, con gráficos.</t>
  </si>
  <si>
    <t>VIABILIDAD</t>
  </si>
  <si>
    <t>Puntajes por área, índices global interno y externo, conclusión de viabilidad y estrategia dominante (NUEVA).</t>
  </si>
  <si>
    <t>CalculoFoda-1</t>
  </si>
  <si>
    <t>Motor: conteos por categoría, peso relativo y situación ponderada -1/+1.</t>
  </si>
  <si>
    <t>VariablesFoda</t>
  </si>
  <si>
    <t>Mapa de dependencias entre factores internos y variables externas.</t>
  </si>
  <si>
    <t>CalculosFoda</t>
  </si>
  <si>
    <t>Motor: puntos 0-10 por factor y ponderación por impacto; semáforo.</t>
  </si>
  <si>
    <t>Rango</t>
  </si>
  <si>
    <t>Tabla de conversión de % de logro a puntos.</t>
  </si>
  <si>
    <t>6. Mapa Canvas -&gt; áreas del cuestionario</t>
  </si>
  <si>
    <t>Bloque Canvas</t>
  </si>
  <si>
    <t>Código</t>
  </si>
  <si>
    <t>Ítems</t>
  </si>
  <si>
    <t>Pregunta que responde</t>
  </si>
  <si>
    <t>1. Segmentos de clientes</t>
  </si>
  <si>
    <t>IA</t>
  </si>
  <si>
    <t>¿Para quién creamos valor y a qué mercados podría llegar?</t>
  </si>
  <si>
    <t>2. Propuesta de valor</t>
  </si>
  <si>
    <t>IB</t>
  </si>
  <si>
    <t>¿Qué ofrecemos que el mercado externo valore y pueda comprar?</t>
  </si>
  <si>
    <t>3. Canales</t>
  </si>
  <si>
    <t>IC</t>
  </si>
  <si>
    <t>¿Cómo llegamos al cliente del exterior y cómo le entregamos el producto?</t>
  </si>
  <si>
    <t>4. Relación con clientes</t>
  </si>
  <si>
    <t>ID</t>
  </si>
  <si>
    <t>¿Cómo captamos, atendemos y retenemos al cliente externo?</t>
  </si>
  <si>
    <t>5. Fuentes de ingresos</t>
  </si>
  <si>
    <t>IE</t>
  </si>
  <si>
    <t>¿Cuánto y cómo cobramos, y qué margen deja exportar?</t>
  </si>
  <si>
    <t>6. Recursos clave</t>
  </si>
  <si>
    <t>IF</t>
  </si>
  <si>
    <t>¿Con qué recursos productivos, humanos y financieros contamos para exportar?</t>
  </si>
  <si>
    <t>7. Actividades clave</t>
  </si>
  <si>
    <t>IG</t>
  </si>
  <si>
    <t>¿Qué procesos debemos dominar para producir, cumplir y entregar con calidad?</t>
  </si>
  <si>
    <t>8. Socios clave</t>
  </si>
  <si>
    <t>IH</t>
  </si>
  <si>
    <t>¿Quiénes nos ayudan a producir, vender y cumplir en el exterior?</t>
  </si>
  <si>
    <t>9. Estructura de costos</t>
  </si>
  <si>
    <t>II</t>
  </si>
  <si>
    <t>¿Cuánto cuesta producir y exportar, y a partir de qué escala es rentable?</t>
  </si>
  <si>
    <t>10. Transversal: gestión y compromiso exportador</t>
  </si>
  <si>
    <t>IJ</t>
  </si>
  <si>
    <t>¿La dirección está preparada y decidida a sostener un proceso exportador?</t>
  </si>
  <si>
    <t>Total: 64 factores internos y 46 externos.</t>
  </si>
  <si>
    <t>7. Empresas que no exportan y evalúan iniciar (perfil aspirante, MERCOSUR)</t>
  </si>
  <si>
    <t>Este cuestionario sirve para dos perfiles de empresa: la que ya exporta (o exportó alguna vez) y la que nunca exportó pero está dispuesta a evaluar una inversión en exportación. En VIABILIDAD hay un campo 'Perfil de la empresa' para dejarlo asentado; las preguntas y la forma de puntuar NO cambian entre perfiles, pero sí cambia CÓMO se interpretan.</t>
  </si>
  <si>
    <t>¿Quién responde? Regla general: el empresario responde todo lo que es diagnóstico de su realidad actual, aunque hoy solo aplique al mercado interno (cartera de clientes, idiomas del personal, uso de contratos, ventas, márgenes). El estudiante completa lo que exige investigación externa (países y segmentos candidatos, canales de exportación, normativa, logística, mercado destino) y lo valida con el empresario en la entrevista. La hoja GUIA_ENTREVISTA tiene una columna 'Quién responde' por cada bloque.</t>
  </si>
  <si>
    <t>¿Cómo marcar la SITUACIÓN sin actividad exportadora? No se usa 'No corresponde' solo porque la empresa nunca exportó: eso vaciaría justo la parte del diagnóstico que más importa. Se marca la Situación según el grado de preparación o capacidad ACTUAL de la empresa frente a ese factor, usando la mejor evidencia disponible (casi siempre doméstica). Si la empresa nunca pensó en países destino, eso es información real y se marca Muy Desfavorable, no 'No corresponde'.</t>
  </si>
  <si>
    <t>¿Cómo marcar el IMPACTO sin actividad exportadora? El Impacto no mide lo que la empresa siente hoy (que sería siempre bajo, si no exporta) sino qué tan determinante sería ese factor para que un FUTURO proyecto de exportación tenga éxito. Se evalúa igual, exporte o no la empresa actualmente.</t>
  </si>
  <si>
    <t>Con esta lectura, es normal y correcto que una empresa sin experiencia exportadora obtenga varias Debilidades de peso alto en Segmentos de clientes, Canales y Fuentes de ingresos: son las brechas reales que hay que cerrar antes de exportar, no un defecto del formulario.</t>
  </si>
  <si>
    <t>La hoja GUIA_ENTREVISTA agrega, para cada uno de los 21 factores donde la lectura no es obvia (Segmentos de clientes, Canales, Relación con clientes y Fuentes de ingresos), una nota puntual en la columna 'Si la empresa NO exporta: cómo leer la Situación'. Para el resto de los factores (y para todo el ámbito externo) la lectura es la misma, exporte o no la empresa.</t>
  </si>
  <si>
    <t>8. Controles y notas</t>
  </si>
  <si>
    <t>Correcciones respecto del archivo original (detalle en el archivo .md): se corrigió la escala de situación de CalculoFoda-1 (Desfavorable sumaba en positivo y Muy favorable no sumaba), rangos de suma con errores, división por cero en planillas vacías, conteo de la matriz (COUNTA contaba celdas vacías) y el área Proveedores, que no aparecía en el resumen.</t>
  </si>
  <si>
    <t>Los umbrales de viabilidad (VIABILIDAD!C11 y C12) son supuestos de diseño editables. El diagnóstico es preliminar: no reemplaza un plan de exportación completo.</t>
  </si>
  <si>
    <t>FORMULARIO DE RELEVAMIENTO – Marque con una "x" UNA opción de SITUACIÓN y UNA de IMPACTO por cada fila (celdas amarillas)</t>
  </si>
  <si>
    <t>SITUACIÓN</t>
  </si>
  <si>
    <t>IMPACTO</t>
  </si>
  <si>
    <t>Variables</t>
  </si>
  <si>
    <t>Mensaje / observación de la empresa</t>
  </si>
  <si>
    <t>Control</t>
  </si>
  <si>
    <t>MODELO DE NEGOCIO (CANVAS) – LADO CLIENTE Y VALOR</t>
  </si>
  <si>
    <t>Segmentos de Clientes</t>
  </si>
  <si>
    <r>
      <rPr>
        <b/>
        <sz val="10"/>
        <rFont val="Arial"/>
        <charset val="1"/>
      </rPr>
      <t xml:space="preserve">1 - Definición de segmentos y países objetivo. </t>
    </r>
    <r>
      <rPr>
        <sz val="10"/>
        <rFont val="Arial"/>
        <charset val="1"/>
      </rPr>
      <t>Se considera favorable si la empresa tiene definidos, con datos, los tipos de cliente externo (importador, distribuidor, industria, retail) y los 2 o 3 países prioritarios.</t>
    </r>
  </si>
  <si>
    <r>
      <rPr>
        <b/>
        <sz val="10"/>
        <rFont val="Arial"/>
        <charset val="1"/>
      </rPr>
      <t xml:space="preserve">2 - Conocimiento de las necesidades del cliente externo. </t>
    </r>
    <r>
      <rPr>
        <sz val="10"/>
        <rFont val="Arial"/>
        <charset val="1"/>
      </rPr>
      <t>Se considera favorable si la empresa conoce qué exige el comprador del exterior (calidad, volumen, plazos, formatos, certificaciones) y no solo lo que pide el mercado interno.</t>
    </r>
  </si>
  <si>
    <r>
      <rPr>
        <b/>
        <sz val="10"/>
        <rFont val="Arial"/>
        <charset val="1"/>
      </rPr>
      <t xml:space="preserve">3 - Concentración de clientes. </t>
    </r>
    <r>
      <rPr>
        <sz val="10"/>
        <rFont val="Arial"/>
        <charset val="1"/>
      </rPr>
      <t>Se considera favorable si ningún cliente supera el 40% de las ventas y la cartera está balanceada entre mercado interno y potencial externo.</t>
    </r>
  </si>
  <si>
    <r>
      <rPr>
        <b/>
        <sz val="10"/>
        <rFont val="Arial"/>
        <charset val="1"/>
      </rPr>
      <t xml:space="preserve">4 - Experiencia previa exportadora. </t>
    </r>
    <r>
      <rPr>
        <sz val="10"/>
        <rFont val="Arial"/>
        <charset val="1"/>
      </rPr>
      <t>Se considera favorable si la empresa ya exportó (aunque sea de forma esporádica o indirecta, vía un tercero) o cotizó operaciones al exterior.</t>
    </r>
  </si>
  <si>
    <r>
      <rPr>
        <b/>
        <sz val="10"/>
        <rFont val="Arial"/>
        <charset val="1"/>
      </rPr>
      <t xml:space="preserve">5 - Acceso a información de mercados. </t>
    </r>
    <r>
      <rPr>
        <sz val="10"/>
        <rFont val="Arial"/>
        <charset val="1"/>
      </rPr>
      <t>Se considera favorable si la empresa consulta fuentes sistemáticas (estadísticas de comercio, cámaras, agencias de promoción, consulados) para elegir destinos y precios.</t>
    </r>
  </si>
  <si>
    <t>Propuesta de Valor</t>
  </si>
  <si>
    <r>
      <rPr>
        <b/>
        <sz val="10"/>
        <rFont val="Arial"/>
        <charset val="1"/>
      </rPr>
      <t xml:space="preserve">1 - Diferenciación del producto. </t>
    </r>
    <r>
      <rPr>
        <sz val="10"/>
        <rFont val="Arial"/>
        <charset val="1"/>
      </rPr>
      <t>Se considera favorable si el producto tiene atributos diferenciales (calidad, diseño, especie o variedad, proceso, origen) que el cliente externo reconoce y valora.</t>
    </r>
  </si>
  <si>
    <r>
      <rPr>
        <b/>
        <sz val="10"/>
        <rFont val="Arial"/>
        <charset val="1"/>
      </rPr>
      <t xml:space="preserve">2 - Adecuación a requisitos del mercado destino. </t>
    </r>
    <r>
      <rPr>
        <sz val="10"/>
        <rFont val="Arial"/>
        <charset val="1"/>
      </rPr>
      <t>Se considera favorable si el producto (norma técnica, envase, etiquetado, idioma, unidades) está adaptado como mínimo al 80% de lo que exige el destino elegido.</t>
    </r>
  </si>
  <si>
    <r>
      <rPr>
        <b/>
        <sz val="10"/>
        <rFont val="Arial"/>
        <charset val="1"/>
      </rPr>
      <t xml:space="preserve">3 - Certificaciones y normas de producto. </t>
    </r>
    <r>
      <rPr>
        <sz val="10"/>
        <rFont val="Arial"/>
        <charset val="1"/>
      </rPr>
      <t>Se considera favorable si la empresa posee, o tiene en trámite, las certificaciones que exige el destino (p. ej., FSC/PEFC, orgánico, BPM/HACCP, normas técnicas).</t>
    </r>
  </si>
  <si>
    <r>
      <rPr>
        <b/>
        <sz val="10"/>
        <rFont val="Arial"/>
        <charset val="1"/>
      </rPr>
      <t xml:space="preserve">4 - Competitividad de precio internacional. </t>
    </r>
    <r>
      <rPr>
        <sz val="10"/>
        <rFont val="Arial"/>
        <charset val="1"/>
      </rPr>
      <t>Se considera favorable si el precio FOB estimado resulta competitivo frente al de los principales oferentes en el mercado destino.</t>
    </r>
  </si>
  <si>
    <r>
      <rPr>
        <b/>
        <sz val="10"/>
        <rFont val="Arial"/>
        <charset val="1"/>
      </rPr>
      <t xml:space="preserve">5 - Marca, presentación y material comercial. </t>
    </r>
    <r>
      <rPr>
        <sz val="10"/>
        <rFont val="Arial"/>
        <charset val="1"/>
      </rPr>
      <t>Se considera favorable si la marca está registrada y existen catálogo, ficha técnica y sitio web al menos en inglés o portugués.</t>
    </r>
  </si>
  <si>
    <r>
      <rPr>
        <b/>
        <sz val="10"/>
        <rFont val="Arial"/>
        <charset val="1"/>
      </rPr>
      <t xml:space="preserve">6 - Origen e identidad regional. </t>
    </r>
    <r>
      <rPr>
        <sz val="10"/>
        <rFont val="Arial"/>
        <charset val="1"/>
      </rPr>
      <t>Se considera favorable si el origen misionero/NEA (territorio, tradición, sello o indicación geográfica) agrega valor reconocible al producto.</t>
    </r>
  </si>
  <si>
    <r>
      <rPr>
        <b/>
        <sz val="10"/>
        <rFont val="Arial"/>
        <charset val="1"/>
      </rPr>
      <t xml:space="preserve">7 - Amplitud de línea y desarrollo de nuevos productos. </t>
    </r>
    <r>
      <rPr>
        <sz val="10"/>
        <rFont val="Arial"/>
        <charset val="1"/>
      </rPr>
      <t>Se considera favorable si existe una línea suficiente para exportar y una política de adaptar o desarrollar productos para nuevos mercados.</t>
    </r>
  </si>
  <si>
    <t>Canales</t>
  </si>
  <si>
    <r>
      <rPr>
        <b/>
        <sz val="10"/>
        <rFont val="Arial"/>
        <charset val="1"/>
      </rPr>
      <t xml:space="preserve">1 - Canales de comercialización externos. </t>
    </r>
    <r>
      <rPr>
        <sz val="10"/>
        <rFont val="Arial"/>
        <charset val="1"/>
      </rPr>
      <t>Se considera favorable si están identificados y evaluados los canales posibles (importador, distribuidor, agente, trading, venta directa, plataformas) y se sabe cuál usar por segmento.</t>
    </r>
  </si>
  <si>
    <r>
      <rPr>
        <b/>
        <sz val="10"/>
        <rFont val="Arial"/>
        <charset val="1"/>
      </rPr>
      <t xml:space="preserve">2 - Presencia digital y venta online. </t>
    </r>
    <r>
      <rPr>
        <sz val="10"/>
        <rFont val="Arial"/>
        <charset val="1"/>
      </rPr>
      <t>Se considera favorable si la empresa tiene sitio web activo y perfiles comerciales, y puede responder consultas del exterior en tiempo razonable.</t>
    </r>
  </si>
  <si>
    <r>
      <rPr>
        <b/>
        <sz val="10"/>
        <rFont val="Arial"/>
        <charset val="1"/>
      </rPr>
      <t xml:space="preserve">3 - Promoción internacional. </t>
    </r>
    <r>
      <rPr>
        <sz val="10"/>
        <rFont val="Arial"/>
        <charset val="1"/>
      </rPr>
      <t>Se considera favorable si participa o planea participar en ferias, rondas de negocios, misiones comerciales o campañas de promoción.</t>
    </r>
  </si>
  <si>
    <r>
      <rPr>
        <b/>
        <sz val="10"/>
        <rFont val="Arial"/>
        <charset val="1"/>
      </rPr>
      <t xml:space="preserve">4 - Logística y embalaje de exportación. </t>
    </r>
    <r>
      <rPr>
        <sz val="10"/>
        <rFont val="Arial"/>
        <charset val="1"/>
      </rPr>
      <t>Se considera favorable si la empresa sabe cotizar bajo Incoterms, dispone de embalaje apto para transporte internacional y conoce opciones de flete y seguro.</t>
    </r>
  </si>
  <si>
    <r>
      <rPr>
        <b/>
        <sz val="10"/>
        <rFont val="Arial"/>
        <charset val="1"/>
      </rPr>
      <t xml:space="preserve">5 - Gestión documental y aduanera. </t>
    </r>
    <r>
      <rPr>
        <sz val="10"/>
        <rFont val="Arial"/>
        <charset val="1"/>
      </rPr>
      <t>Se considera favorable si la empresa conoce o tiene acceso a la documentación de exportación (factura, packing list, certificado de origen, permiso de embarque) y a un despachante.</t>
    </r>
  </si>
  <si>
    <t>Relación con Clientes</t>
  </si>
  <si>
    <r>
      <rPr>
        <b/>
        <sz val="10"/>
        <rFont val="Arial"/>
        <charset val="1"/>
      </rPr>
      <t xml:space="preserve">1 - Atención y postventa internacional. </t>
    </r>
    <r>
      <rPr>
        <sz val="10"/>
        <rFont val="Arial"/>
        <charset val="1"/>
      </rPr>
      <t>Se considera favorable si hay un responsable y un procedimiento para atender consultas, pedidos y postventa del exterior con tiempos de respuesta definidos.</t>
    </r>
  </si>
  <si>
    <r>
      <rPr>
        <b/>
        <sz val="10"/>
        <rFont val="Arial"/>
        <charset val="1"/>
      </rPr>
      <t xml:space="preserve">2 - Comunicación en idioma extranjero. </t>
    </r>
    <r>
      <rPr>
        <sz val="10"/>
        <rFont val="Arial"/>
        <charset val="1"/>
      </rPr>
      <t>Se considera favorable si el personal comercial puede negociar y redactar en inglés y/o portugués, o cuenta con traductor o intérprete.</t>
    </r>
  </si>
  <si>
    <r>
      <rPr>
        <b/>
        <sz val="10"/>
        <rFont val="Arial"/>
        <charset val="1"/>
      </rPr>
      <t xml:space="preserve">3 - Contratos y condiciones con compradores. </t>
    </r>
    <r>
      <rPr>
        <sz val="10"/>
        <rFont val="Arial"/>
        <charset val="1"/>
      </rPr>
      <t>Se considera favorable si se usan contratos o condiciones de venta escritas (precio, Incoterm, forma de pago, resolución de conflictos) y se evalúa la solvencia del comprador.</t>
    </r>
  </si>
  <si>
    <r>
      <rPr>
        <b/>
        <sz val="10"/>
        <rFont val="Arial"/>
        <charset val="1"/>
      </rPr>
      <t xml:space="preserve">4 - Fidelización y recompra. </t>
    </r>
    <r>
      <rPr>
        <sz val="10"/>
        <rFont val="Arial"/>
        <charset val="1"/>
      </rPr>
      <t>Se considera favorable si existen mecanismos para sostener la relación (seguimiento, acuerdos de abastecimiento, condiciones especiales) y hay recompra.</t>
    </r>
  </si>
  <si>
    <r>
      <rPr>
        <b/>
        <sz val="10"/>
        <rFont val="Arial"/>
        <charset val="1"/>
      </rPr>
      <t xml:space="preserve">5 - Gestión de reclamos y devoluciones. </t>
    </r>
    <r>
      <rPr>
        <sz val="10"/>
        <rFont val="Arial"/>
        <charset val="1"/>
      </rPr>
      <t>Se considera favorable si hay un procedimiento para reclamos, cambios y devoluciones que resuelve los casos sin pérdida relevante del cliente.</t>
    </r>
  </si>
  <si>
    <t>Fuentes de Ingresos</t>
  </si>
  <si>
    <r>
      <rPr>
        <b/>
        <sz val="10"/>
        <rFont val="Arial"/>
        <charset val="1"/>
      </rPr>
      <t xml:space="preserve">1 - Evolución de ventas. </t>
    </r>
    <r>
      <rPr>
        <sz val="10"/>
        <rFont val="Arial"/>
        <charset val="1"/>
      </rPr>
      <t>Se considera favorable si las ventas crecen o se sostienen en términos reales y hay renovación de clientes y nuevos requerimientos.</t>
    </r>
  </si>
  <si>
    <r>
      <rPr>
        <b/>
        <sz val="10"/>
        <rFont val="Arial"/>
        <charset val="1"/>
      </rPr>
      <t xml:space="preserve">2 - Fijación de precio de exportación. </t>
    </r>
    <r>
      <rPr>
        <sz val="10"/>
        <rFont val="Arial"/>
        <charset val="1"/>
      </rPr>
      <t>Se considera favorable si existe un método sistematizado para construir el precio (costo, margen, flete, seguro, comisiones, impuestos) según el Incoterm.</t>
    </r>
  </si>
  <si>
    <r>
      <rPr>
        <b/>
        <sz val="10"/>
        <rFont val="Arial"/>
        <charset val="1"/>
      </rPr>
      <t xml:space="preserve">3 - Margen del producto exportable. </t>
    </r>
    <r>
      <rPr>
        <sz val="10"/>
        <rFont val="Arial"/>
        <charset val="1"/>
      </rPr>
      <t>Se considera favorable si el margen de contribución soporta descuentos, comisiones, fletes y derechos de exportación sin quedar por debajo del margen del mercado interno.</t>
    </r>
  </si>
  <si>
    <r>
      <rPr>
        <b/>
        <sz val="10"/>
        <rFont val="Arial"/>
        <charset val="1"/>
      </rPr>
      <t xml:space="preserve">4 - Medios y condiciones de cobro. </t>
    </r>
    <r>
      <rPr>
        <sz val="10"/>
        <rFont val="Arial"/>
        <charset val="1"/>
      </rPr>
      <t>Se considera favorable si la empresa conoce y puede operar instrumentos de cobro internacional (transferencia anticipada, cobranza documentaria, carta de crédito, seguro de crédito).</t>
    </r>
  </si>
  <si>
    <r>
      <rPr>
        <b/>
        <sz val="10"/>
        <rFont val="Arial"/>
        <charset val="1"/>
      </rPr>
      <t xml:space="preserve">5 - Diversificación de ingresos. </t>
    </r>
    <r>
      <rPr>
        <sz val="10"/>
        <rFont val="Arial"/>
        <charset val="1"/>
      </rPr>
      <t>Se considera favorable si los ingresos no dependen de un único producto, cliente o mercado y hay margen para sumar mercados externos.</t>
    </r>
  </si>
  <si>
    <r>
      <rPr>
        <b/>
        <sz val="10"/>
        <rFont val="Arial"/>
        <charset val="1"/>
      </rPr>
      <t xml:space="preserve">6 - Resistencia a variaciones cambiarias. </t>
    </r>
    <r>
      <rPr>
        <sz val="10"/>
        <rFont val="Arial"/>
        <charset val="1"/>
      </rPr>
      <t>Se considera favorable si la empresa puede absorber cambios en el tipo de cambio o cubrirse (precios en dólares, costos dolarizados, coberturas).</t>
    </r>
  </si>
  <si>
    <t>MODELO DE NEGOCIO (CANVAS) – LADO OPERACIÓN Y RECURSOS</t>
  </si>
  <si>
    <t>Recursos Clave</t>
  </si>
  <si>
    <r>
      <rPr>
        <b/>
        <sz val="10"/>
        <rFont val="Arial"/>
        <charset val="1"/>
      </rPr>
      <t xml:space="preserve">1 - Capacidad instalada y ociosa. </t>
    </r>
    <r>
      <rPr>
        <sz val="10"/>
        <rFont val="Arial"/>
        <charset val="1"/>
      </rPr>
      <t>Se considera favorable si existe capacidad ociosa o ampliable de al menos 30% sin comprometer la atención del mercado actual.</t>
    </r>
  </si>
  <si>
    <r>
      <rPr>
        <b/>
        <sz val="10"/>
        <rFont val="Arial"/>
        <charset val="1"/>
      </rPr>
      <t xml:space="preserve">2 - Estado y tecnología de la maquinaria. </t>
    </r>
    <r>
      <rPr>
        <sz val="10"/>
        <rFont val="Arial"/>
        <charset val="1"/>
      </rPr>
      <t>Se considera favorable si equipos, líneas y tecnología permiten cumplir volúmenes y estándares de calidad del exterior.</t>
    </r>
  </si>
  <si>
    <r>
      <rPr>
        <b/>
        <sz val="10"/>
        <rFont val="Arial"/>
        <charset val="1"/>
      </rPr>
      <t xml:space="preserve">3 - Personal calificado. </t>
    </r>
    <r>
      <rPr>
        <sz val="10"/>
        <rFont val="Arial"/>
        <charset val="1"/>
      </rPr>
      <t>Se considera favorable si la dotación operativa está calificada para los procesos críticos y la rotación es baja.</t>
    </r>
  </si>
  <si>
    <r>
      <rPr>
        <b/>
        <sz val="10"/>
        <rFont val="Arial"/>
        <charset val="1"/>
      </rPr>
      <t xml:space="preserve">4 - Formación continua y capacitación en comercio exterior. </t>
    </r>
    <r>
      <rPr>
        <sz val="10"/>
        <rFont val="Arial"/>
        <charset val="1"/>
      </rPr>
      <t>Se considera favorable si existen planes de capacitación en producción, calidad y comercio exterior, y al menos una persona con formación específica.</t>
    </r>
  </si>
  <si>
    <r>
      <rPr>
        <b/>
        <sz val="10"/>
        <rFont val="Arial"/>
        <charset val="1"/>
      </rPr>
      <t xml:space="preserve">5 - Capital de trabajo y capacidad financiera. </t>
    </r>
    <r>
      <rPr>
        <sz val="10"/>
        <rFont val="Arial"/>
        <charset val="1"/>
      </rPr>
      <t>Se considera favorable si la empresa puede financiar el ciclo exportador (producción, flete, plazo de cobro) sin comprometer su operación.</t>
    </r>
  </si>
  <si>
    <r>
      <rPr>
        <b/>
        <sz val="10"/>
        <rFont val="Arial"/>
        <charset val="1"/>
      </rPr>
      <t xml:space="preserve">6 - Sistemas de información y gestión. </t>
    </r>
    <r>
      <rPr>
        <sz val="10"/>
        <rFont val="Arial"/>
        <charset val="1"/>
      </rPr>
      <t>Se considera favorable si hay sistemas (gestión, facturación, stock) que permiten emitir facturas de exportación y controlar pedidos.</t>
    </r>
  </si>
  <si>
    <r>
      <rPr>
        <b/>
        <sz val="10"/>
        <rFont val="Arial"/>
        <charset val="1"/>
      </rPr>
      <t xml:space="preserve">7 - Infraestructura, depósitos y conservación. </t>
    </r>
    <r>
      <rPr>
        <sz val="10"/>
        <rFont val="Arial"/>
        <charset val="1"/>
      </rPr>
      <t>Se considera favorable si predios y depósitos aseguran conservación, orden y espacio para consolidar mercadería de exportación.</t>
    </r>
  </si>
  <si>
    <r>
      <rPr>
        <b/>
        <sz val="10"/>
        <rFont val="Arial"/>
        <charset val="1"/>
      </rPr>
      <t xml:space="preserve">8 - Habilitaciones y registros oficiales. </t>
    </r>
    <r>
      <rPr>
        <sz val="10"/>
        <rFont val="Arial"/>
        <charset val="1"/>
      </rPr>
      <t>Se considera favorable si cuenta con las habilitaciones y registros de establecimiento y producto exigidos (p. ej., SENASA, INAL/ANMAT, registros de exportador ante ARCA).</t>
    </r>
  </si>
  <si>
    <t>Actividades Clave</t>
  </si>
  <si>
    <r>
      <rPr>
        <b/>
        <sz val="10"/>
        <rFont val="Arial"/>
        <charset val="1"/>
      </rPr>
      <t xml:space="preserve">1 - Descripción técnica y estandarización. </t>
    </r>
    <r>
      <rPr>
        <sz val="10"/>
        <rFont val="Arial"/>
        <charset val="1"/>
      </rPr>
      <t>Se considera favorable si procesos y productos están descriptos (manuales, especificaciones, diagramas de flujo) y son reproducibles lote a lote.</t>
    </r>
  </si>
  <si>
    <r>
      <rPr>
        <b/>
        <sz val="10"/>
        <rFont val="Arial"/>
        <charset val="1"/>
      </rPr>
      <t xml:space="preserve">2 - Mantenimiento y continuidad operativa. </t>
    </r>
    <r>
      <rPr>
        <sz val="10"/>
        <rFont val="Arial"/>
        <charset val="1"/>
      </rPr>
      <t>Se considera favorable si hay mantenimiento preventivo sistematizado y no existen paradas críticas recurrentes (fallas, cortes de energía, faltantes).</t>
    </r>
  </si>
  <si>
    <r>
      <rPr>
        <b/>
        <sz val="10"/>
        <rFont val="Arial"/>
        <charset val="1"/>
      </rPr>
      <t xml:space="preserve">3 - Planificación de producción y abastecimiento. </t>
    </r>
    <r>
      <rPr>
        <sz val="10"/>
        <rFont val="Arial"/>
        <charset val="1"/>
      </rPr>
      <t>Se considera favorable si se planifica producción y aprovisionamiento con antelación y pueden comprometerse volúmenes y fechas de entrega.</t>
    </r>
  </si>
  <si>
    <r>
      <rPr>
        <b/>
        <sz val="10"/>
        <rFont val="Arial"/>
        <charset val="1"/>
      </rPr>
      <t xml:space="preserve">4 - Gestión de calidad. </t>
    </r>
    <r>
      <rPr>
        <sz val="10"/>
        <rFont val="Arial"/>
        <charset val="1"/>
      </rPr>
      <t>Se considera favorable si existe un sistema de calidad (controles, muestreo, normas como ISO 9001, BPM/HACCP) que asegura estándares constantes.</t>
    </r>
  </si>
  <si>
    <r>
      <rPr>
        <b/>
        <sz val="10"/>
        <rFont val="Arial"/>
        <charset val="1"/>
      </rPr>
      <t xml:space="preserve">5 - Trazabilidad y control de stock. </t>
    </r>
    <r>
      <rPr>
        <sz val="10"/>
        <rFont val="Arial"/>
        <charset val="1"/>
      </rPr>
      <t>Se considera favorable si el producto se identifica por lote y origen y el inventario está sistematizado y actualizado.</t>
    </r>
  </si>
  <si>
    <r>
      <rPr>
        <b/>
        <sz val="10"/>
        <rFont val="Arial"/>
        <charset val="1"/>
      </rPr>
      <t xml:space="preserve">6 - Cumplimiento de plazos de entrega. </t>
    </r>
    <r>
      <rPr>
        <sz val="10"/>
        <rFont val="Arial"/>
        <charset val="1"/>
      </rPr>
      <t>Se considera favorable si la empresa cumple sus plazos comprometidos (al menos 90% de los pedidos en fecha y completos).</t>
    </r>
  </si>
  <si>
    <r>
      <rPr>
        <b/>
        <sz val="10"/>
        <rFont val="Arial"/>
        <charset val="1"/>
      </rPr>
      <t xml:space="preserve">7 - Mejora de procesos e I+D. </t>
    </r>
    <r>
      <rPr>
        <sz val="10"/>
        <rFont val="Arial"/>
        <charset val="1"/>
      </rPr>
      <t>Se considera favorable si existen planes de mejora de productividad y de desarrollo de procesos con inversión asignada.</t>
    </r>
  </si>
  <si>
    <r>
      <rPr>
        <b/>
        <sz val="10"/>
        <rFont val="Arial"/>
        <charset val="1"/>
      </rPr>
      <t xml:space="preserve">8 - Gestión ambiental y de residuos. </t>
    </r>
    <r>
      <rPr>
        <sz val="10"/>
        <rFont val="Arial"/>
        <charset val="1"/>
      </rPr>
      <t>Se considera favorable si la planta cumple la normativa ambiental, gestiona residuos y efluentes y puede demostrarlo.</t>
    </r>
  </si>
  <si>
    <r>
      <rPr>
        <b/>
        <sz val="10"/>
        <rFont val="Arial"/>
        <charset val="1"/>
      </rPr>
      <t xml:space="preserve">9 - Seguridad e higiene laboral. </t>
    </r>
    <r>
      <rPr>
        <sz val="10"/>
        <rFont val="Arial"/>
        <charset val="1"/>
      </rPr>
      <t>Se considera favorable si el ambiente de trabajo es seguro, limpio y organizado, con programa de seguridad e higiene y cobertura de ART.</t>
    </r>
  </si>
  <si>
    <t>Socios Clave</t>
  </si>
  <si>
    <r>
      <rPr>
        <b/>
        <sz val="10"/>
        <rFont val="Arial"/>
        <charset val="1"/>
      </rPr>
      <t xml:space="preserve">1 - Proveedores estratégicos. </t>
    </r>
    <r>
      <rPr>
        <sz val="10"/>
        <rFont val="Arial"/>
        <charset val="1"/>
      </rPr>
      <t>Se considera favorable si la estrategia de compras permite negociar precio y plazo con proveedores confiables, sin depender de uno solo.</t>
    </r>
  </si>
  <si>
    <r>
      <rPr>
        <b/>
        <sz val="10"/>
        <rFont val="Arial"/>
        <charset val="1"/>
      </rPr>
      <t xml:space="preserve">2 - Alianzas comerciales. </t>
    </r>
    <r>
      <rPr>
        <sz val="10"/>
        <rFont val="Arial"/>
        <charset val="1"/>
      </rPr>
      <t>Se considera favorable si existen o son posibles acuerdos con agentes, distribuidores, otras pymes (consorcios de exportación) o traders para llegar al exterior.</t>
    </r>
  </si>
  <si>
    <r>
      <rPr>
        <b/>
        <sz val="10"/>
        <rFont val="Arial"/>
        <charset val="1"/>
      </rPr>
      <t xml:space="preserve">3 - Socios logísticos y aduaneros. </t>
    </r>
    <r>
      <rPr>
        <sz val="10"/>
        <rFont val="Arial"/>
        <charset val="1"/>
      </rPr>
      <t>Se considera favorable si trabaja o puede trabajar con despachante, forwarder y transportistas confiables.</t>
    </r>
  </si>
  <si>
    <r>
      <rPr>
        <b/>
        <sz val="10"/>
        <rFont val="Arial"/>
        <charset val="1"/>
      </rPr>
      <t xml:space="preserve">4 - Apoyo institucional. </t>
    </r>
    <r>
      <rPr>
        <sz val="10"/>
        <rFont val="Arial"/>
        <charset val="1"/>
      </rPr>
      <t>Se considera favorable si la empresa se vincula con cámaras, agencias de promoción, organismos provinciales o nacionales, INTA y universidades, y accede a programas de apoyo.</t>
    </r>
  </si>
  <si>
    <r>
      <rPr>
        <b/>
        <sz val="10"/>
        <rFont val="Arial"/>
        <charset val="1"/>
      </rPr>
      <t xml:space="preserve">5 - Socios financieros y de seguros. </t>
    </r>
    <r>
      <rPr>
        <sz val="10"/>
        <rFont val="Arial"/>
        <charset val="1"/>
      </rPr>
      <t>Se considera favorable si mantiene relación con bancos y aseguradoras con productos de comercio exterior (prefinanciación, seguros de carga y de crédito).</t>
    </r>
  </si>
  <si>
    <r>
      <rPr>
        <b/>
        <sz val="10"/>
        <rFont val="Arial"/>
        <charset val="1"/>
      </rPr>
      <t xml:space="preserve">6 - Tercerización y subcontratación. </t>
    </r>
    <r>
      <rPr>
        <sz val="10"/>
        <rFont val="Arial"/>
        <charset val="1"/>
      </rPr>
      <t>Se considera favorable si los servicios tercerizados mantienen equilibrio entre conocimiento, costo y control de calidad, sin crear dependencia crítica.</t>
    </r>
  </si>
  <si>
    <t>Estructura de Costos</t>
  </si>
  <si>
    <r>
      <rPr>
        <b/>
        <sz val="10"/>
        <rFont val="Arial"/>
        <charset val="1"/>
      </rPr>
      <t xml:space="preserve">1 - Costos fijos. </t>
    </r>
    <r>
      <rPr>
        <sz val="10"/>
        <rFont val="Arial"/>
        <charset val="1"/>
      </rPr>
      <t>Se considera favorable si los costos fijos no aumentaron más del 15% real en el último año y su peso es manejable frente al volumen.</t>
    </r>
  </si>
  <si>
    <r>
      <rPr>
        <b/>
        <sz val="10"/>
        <rFont val="Arial"/>
        <charset val="1"/>
      </rPr>
      <t xml:space="preserve">2 - Punto de equilibrio y escala mínima exportable. </t>
    </r>
    <r>
      <rPr>
        <sz val="10"/>
        <rFont val="Arial"/>
        <charset val="1"/>
      </rPr>
      <t>Se considera favorable si se conoce el punto de equilibrio y el volumen mínimo por embarque que resulta rentable.</t>
    </r>
  </si>
  <si>
    <r>
      <rPr>
        <b/>
        <sz val="10"/>
        <rFont val="Arial"/>
        <charset val="1"/>
      </rPr>
      <t xml:space="preserve">3 - Sistema de costos de exportación. </t>
    </r>
    <r>
      <rPr>
        <sz val="10"/>
        <rFont val="Arial"/>
        <charset val="1"/>
      </rPr>
      <t>Se considera favorable si existe un sistema que distribuye costos por producto e incorpora los de comercio exterior (flete, seguro, tasas, comisiones).</t>
    </r>
  </si>
  <si>
    <r>
      <rPr>
        <b/>
        <sz val="10"/>
        <rFont val="Arial"/>
        <charset val="1"/>
      </rPr>
      <t xml:space="preserve">4 - Costo de materias primas. </t>
    </r>
    <r>
      <rPr>
        <sz val="10"/>
        <rFont val="Arial"/>
        <charset val="1"/>
      </rPr>
      <t>Se considera favorable si el costo y la disponibilidad de la materia prima son estables, sin fuertes variaciones estacionales o de precio.</t>
    </r>
  </si>
  <si>
    <r>
      <rPr>
        <b/>
        <sz val="10"/>
        <rFont val="Arial"/>
        <charset val="1"/>
      </rPr>
      <t xml:space="preserve">5 - Costos logísticos y de comercio exterior. </t>
    </r>
    <r>
      <rPr>
        <sz val="10"/>
        <rFont val="Arial"/>
        <charset val="1"/>
      </rPr>
      <t>Se considera favorable si los costos de flete, embalaje, despacho y seguros representan un porcentaje del precio compatible con la competitividad.</t>
    </r>
  </si>
  <si>
    <r>
      <rPr>
        <b/>
        <sz val="10"/>
        <rFont val="Arial"/>
        <charset val="1"/>
      </rPr>
      <t xml:space="preserve">6 - Endeudamiento. </t>
    </r>
    <r>
      <rPr>
        <sz val="10"/>
        <rFont val="Arial"/>
        <charset val="1"/>
      </rPr>
      <t>Se considera favorable si el endeudamiento es menor al activo corriente y no compromete la capacidad de invertir.</t>
    </r>
  </si>
  <si>
    <t>GESTIÓN Y COMPROMISO EXPORTADOR (BLOQUE TRANSVERSAL)</t>
  </si>
  <si>
    <t>Gestión y Compromiso Exportador</t>
  </si>
  <si>
    <r>
      <rPr>
        <b/>
        <sz val="10"/>
        <rFont val="Arial"/>
        <charset val="1"/>
      </rPr>
      <t xml:space="preserve">1 - Estrategia y objetivos de largo plazo. </t>
    </r>
    <r>
      <rPr>
        <sz val="10"/>
        <rFont val="Arial"/>
        <charset val="1"/>
      </rPr>
      <t>Se considera favorable si hay una estrategia con visión a más de tres años y objetivos de exportación medibles.</t>
    </r>
  </si>
  <si>
    <r>
      <rPr>
        <b/>
        <sz val="10"/>
        <rFont val="Arial"/>
        <charset val="1"/>
      </rPr>
      <t xml:space="preserve">2 - Compromiso de la dirección. </t>
    </r>
    <r>
      <rPr>
        <sz val="10"/>
        <rFont val="Arial"/>
        <charset val="1"/>
      </rPr>
      <t>Se considera favorable si la dirección asigna tiempo, presupuesto y decisiones concretas a la exportación (no solo interés declarativo).</t>
    </r>
  </si>
  <si>
    <r>
      <rPr>
        <b/>
        <sz val="10"/>
        <rFont val="Arial"/>
        <charset val="1"/>
      </rPr>
      <t xml:space="preserve">3 - Estructura y responsable de comercio exterior. </t>
    </r>
    <r>
      <rPr>
        <sz val="10"/>
        <rFont val="Arial"/>
        <charset val="1"/>
      </rPr>
      <t>Se considera favorable si existe una persona o equipo responsable de exportar y la estructura y funciones son acordes al volumen de actividad.</t>
    </r>
  </si>
  <si>
    <r>
      <rPr>
        <b/>
        <sz val="10"/>
        <rFont val="Arial"/>
        <charset val="1"/>
      </rPr>
      <t xml:space="preserve">4 - Conocimiento de la competencia internacional. </t>
    </r>
    <r>
      <rPr>
        <sz val="10"/>
        <rFont val="Arial"/>
        <charset val="1"/>
      </rPr>
      <t>Se considera favorable si se conocen competidores, capacidades, precios y estrategias en los mercados elegidos.</t>
    </r>
  </si>
  <si>
    <r>
      <rPr>
        <b/>
        <sz val="10"/>
        <rFont val="Arial"/>
        <charset val="1"/>
      </rPr>
      <t xml:space="preserve">5 - Capacidad de anticipación a los cambios. </t>
    </r>
    <r>
      <rPr>
        <sz val="10"/>
        <rFont val="Arial"/>
        <charset val="1"/>
      </rPr>
      <t>Se considera favorable si existen planes de contingencia y análisis de escenarios ante cambios de normas, tipo de cambio y demanda.</t>
    </r>
  </si>
  <si>
    <r>
      <rPr>
        <b/>
        <sz val="10"/>
        <rFont val="Arial"/>
        <charset val="1"/>
      </rPr>
      <t xml:space="preserve">6 - Cultura empresarial y estilo de dirección. </t>
    </r>
    <r>
      <rPr>
        <sz val="10"/>
        <rFont val="Arial"/>
        <charset val="1"/>
      </rPr>
      <t>Se considera favorable si la cultura es abierta al cambio, hay compromiso compartido con una visión y los mandos medios participan en las decisiones.</t>
    </r>
  </si>
  <si>
    <r>
      <rPr>
        <b/>
        <sz val="10"/>
        <rFont val="Arial"/>
        <charset val="1"/>
      </rPr>
      <t xml:space="preserve">7 - Herramientas de planificación y control. </t>
    </r>
    <r>
      <rPr>
        <sz val="10"/>
        <rFont val="Arial"/>
        <charset val="1"/>
      </rPr>
      <t>Se considera favorable si existen presupuesto, tableros de indicadores y herramientas de planificación sistematizadas en cada proceso.</t>
    </r>
  </si>
  <si>
    <t>AMBITO EXTERNO</t>
  </si>
  <si>
    <t>Ámbito Político/Legal y Regulatorio</t>
  </si>
  <si>
    <r>
      <rPr>
        <b/>
        <sz val="10"/>
        <rFont val="Arial"/>
        <charset val="1"/>
      </rPr>
      <t xml:space="preserve">1 - Política de comercio exterior. </t>
    </r>
    <r>
      <rPr>
        <sz val="10"/>
        <rFont val="Arial"/>
        <charset val="1"/>
      </rPr>
      <t>Se considera favorable si las reglas de exportación (autorizaciones, cupos, restricciones) son previsibles y estables y no obstaculizan al sector.</t>
    </r>
  </si>
  <si>
    <r>
      <rPr>
        <b/>
        <sz val="10"/>
        <rFont val="Arial"/>
        <charset val="1"/>
      </rPr>
      <t xml:space="preserve">2 - Acuerdos comerciales y preferencias arancelarias. </t>
    </r>
    <r>
      <rPr>
        <sz val="10"/>
        <rFont val="Arial"/>
        <charset val="1"/>
      </rPr>
      <t>Se considera favorable si existen acuerdos vigentes (Mercosur, ALADI u otros) que otorgan preferencias arancelarias al producto en los destinos elegidos.</t>
    </r>
  </si>
  <si>
    <r>
      <rPr>
        <b/>
        <sz val="10"/>
        <rFont val="Arial"/>
        <charset val="1"/>
      </rPr>
      <t xml:space="preserve">3 - Barreras arancelarias y técnicas del destino. </t>
    </r>
    <r>
      <rPr>
        <sz val="10"/>
        <rFont val="Arial"/>
        <charset val="1"/>
      </rPr>
      <t>Se considera favorable si aranceles, cupos, licencias y reglamentos técnicos del destino no impiden ni encarecen de manera significativa el ingreso del producto.</t>
    </r>
  </si>
  <si>
    <r>
      <rPr>
        <b/>
        <sz val="10"/>
        <rFont val="Arial"/>
        <charset val="1"/>
      </rPr>
      <t xml:space="preserve">4 - Trámites y aduana. </t>
    </r>
    <r>
      <rPr>
        <sz val="10"/>
        <rFont val="Arial"/>
        <charset val="1"/>
      </rPr>
      <t>Se considera favorable si los trámites y controles (permisos, certificados de origen, despacho) son ágiles, digitalizados y de costo razonable.</t>
    </r>
  </si>
  <si>
    <r>
      <rPr>
        <b/>
        <sz val="10"/>
        <rFont val="Arial"/>
        <charset val="1"/>
      </rPr>
      <t xml:space="preserve">5 - Promoción y fomento a exportadores. </t>
    </r>
    <r>
      <rPr>
        <sz val="10"/>
        <rFont val="Arial"/>
        <charset val="1"/>
      </rPr>
      <t>Se considera favorable si existen programas nacionales, provinciales o sectoriales (asistencia técnica, ferias, financiamiento, reintegros) accesibles para pymes.</t>
    </r>
  </si>
  <si>
    <r>
      <rPr>
        <b/>
        <sz val="10"/>
        <rFont val="Arial"/>
        <charset val="1"/>
      </rPr>
      <t xml:space="preserve">6 - Propiedad intelectual y seguridad jurídica. </t>
    </r>
    <r>
      <rPr>
        <sz val="10"/>
        <rFont val="Arial"/>
        <charset val="1"/>
      </rPr>
      <t>Se considera favorable si es posible proteger marcas y patentes y hacer cumplir contratos internacionales (Incoterms, arbitraje) con reglas claras.</t>
    </r>
  </si>
  <si>
    <t>Ámbito Económico/Financiero/Cambiario</t>
  </si>
  <si>
    <r>
      <rPr>
        <b/>
        <sz val="10"/>
        <rFont val="Arial"/>
        <charset val="1"/>
      </rPr>
      <t xml:space="preserve">1 - Crecimiento económico y ciclo. </t>
    </r>
    <r>
      <rPr>
        <sz val="10"/>
        <rFont val="Arial"/>
        <charset val="1"/>
      </rPr>
      <t>Se considera favorable si la economía argentina y las de los destinos crecen o se estabilizan, sin ciclos que reduzcan la demanda de manera abrupta.</t>
    </r>
  </si>
  <si>
    <r>
      <rPr>
        <b/>
        <sz val="10"/>
        <rFont val="Arial"/>
        <charset val="1"/>
      </rPr>
      <t xml:space="preserve">2 - Crecimiento sectorial del rubro. </t>
    </r>
    <r>
      <rPr>
        <sz val="10"/>
        <rFont val="Arial"/>
        <charset val="1"/>
      </rPr>
      <t>Se considera favorable si el rubro (forestoindustrial, yerbatero, alimentos, etc.) crece en los destinos objetivo y permite mayores transacciones.</t>
    </r>
  </si>
  <si>
    <r>
      <rPr>
        <b/>
        <sz val="10"/>
        <rFont val="Arial"/>
        <charset val="1"/>
      </rPr>
      <t xml:space="preserve">3 - Tipo de cambio y competitividad. </t>
    </r>
    <r>
      <rPr>
        <sz val="10"/>
        <rFont val="Arial"/>
        <charset val="1"/>
      </rPr>
      <t>Se considera favorable si el esquema cambiario es previsible y sostiene precios competitivos en dólares.</t>
    </r>
  </si>
  <si>
    <r>
      <rPr>
        <b/>
        <sz val="10"/>
        <rFont val="Arial"/>
        <charset val="1"/>
      </rPr>
      <t xml:space="preserve">4 - Inflación y costos internos. </t>
    </r>
    <r>
      <rPr>
        <sz val="10"/>
        <rFont val="Arial"/>
        <charset val="1"/>
      </rPr>
      <t>Se considera favorable si la inflación no desbalancea salarios e insumos ni erosiona el margen frente al precio internacional.</t>
    </r>
  </si>
  <si>
    <r>
      <rPr>
        <b/>
        <sz val="10"/>
        <rFont val="Arial"/>
        <charset val="1"/>
      </rPr>
      <t xml:space="preserve">5 - Financiamiento y crédito para exportar. </t>
    </r>
    <r>
      <rPr>
        <sz val="10"/>
        <rFont val="Arial"/>
        <charset val="1"/>
      </rPr>
      <t>Se considera favorable si hay líneas de crédito y prefinanciación de exportaciones a tasas y plazos que permitan financiar el ciclo exportador.</t>
    </r>
  </si>
  <si>
    <r>
      <rPr>
        <b/>
        <sz val="10"/>
        <rFont val="Arial"/>
        <charset val="1"/>
      </rPr>
      <t xml:space="preserve">6 - Cobros y acceso a divisas. </t>
    </r>
    <r>
      <rPr>
        <sz val="10"/>
        <rFont val="Arial"/>
        <charset val="1"/>
      </rPr>
      <t>Se considera favorable si las normas de cobro y liquidación de divisas no restringen ni demoran el cobro de exportaciones ni el pago de insumos importados.</t>
    </r>
  </si>
  <si>
    <r>
      <rPr>
        <b/>
        <sz val="10"/>
        <rFont val="Arial"/>
        <charset val="1"/>
      </rPr>
      <t xml:space="preserve">7 - Impuestos, derechos de exportación y reintegros. </t>
    </r>
    <r>
      <rPr>
        <sz val="10"/>
        <rFont val="Arial"/>
        <charset val="1"/>
      </rPr>
      <t>Se considera favorable si la carga tributaria (derechos de exportación, IVA, ingresos brutos, reintegros) no resta competitividad al producto.</t>
    </r>
  </si>
  <si>
    <r>
      <rPr>
        <b/>
        <sz val="10"/>
        <rFont val="Arial"/>
        <charset val="1"/>
      </rPr>
      <t xml:space="preserve">8 - Precios internacionales del producto. </t>
    </r>
    <r>
      <rPr>
        <sz val="10"/>
        <rFont val="Arial"/>
        <charset val="1"/>
      </rPr>
      <t>Se considera favorable si los precios internacionales de referencia son estables o favorables y dejan margen a la empresa.</t>
    </r>
  </si>
  <si>
    <t>Ámbito Sociocultural</t>
  </si>
  <si>
    <r>
      <rPr>
        <b/>
        <sz val="10"/>
        <rFont val="Arial"/>
        <charset val="1"/>
      </rPr>
      <t xml:space="preserve">1 - Afinidad cultural y hábitos de consumo. </t>
    </r>
    <r>
      <rPr>
        <sz val="10"/>
        <rFont val="Arial"/>
        <charset val="1"/>
      </rPr>
      <t>Se considera favorable si el uso, el gusto y los hábitos de consumo del destino coinciden con lo que la empresa ofrece.</t>
    </r>
  </si>
  <si>
    <r>
      <rPr>
        <b/>
        <sz val="10"/>
        <rFont val="Arial"/>
        <charset val="1"/>
      </rPr>
      <t xml:space="preserve">2 - Idioma y cercanía cultural. </t>
    </r>
    <r>
      <rPr>
        <sz val="10"/>
        <rFont val="Arial"/>
        <charset val="1"/>
      </rPr>
      <t>Se considera favorable si hay cercanía idiomática y cultural (español, portugués, guaraní) con mercados vecinos que facilita negociar.</t>
    </r>
  </si>
  <si>
    <r>
      <rPr>
        <b/>
        <sz val="10"/>
        <rFont val="Arial"/>
        <charset val="1"/>
      </rPr>
      <t xml:space="preserve">3 - Valoración del origen y la sustentabilidad. </t>
    </r>
    <r>
      <rPr>
        <sz val="10"/>
        <rFont val="Arial"/>
        <charset val="1"/>
      </rPr>
      <t>Se considera favorable si los compradores valoran la trazabilidad, la sustentabilidad y el origen del producto y están dispuestos a pagar por ello.</t>
    </r>
  </si>
  <si>
    <r>
      <rPr>
        <b/>
        <sz val="10"/>
        <rFont val="Arial"/>
        <charset val="1"/>
      </rPr>
      <t xml:space="preserve">4 - Formación técnica y mano de obra regional. </t>
    </r>
    <r>
      <rPr>
        <sz val="10"/>
        <rFont val="Arial"/>
        <charset val="1"/>
      </rPr>
      <t>Se considera favorable si la región ofrece formación técnica y mano de obra calificada suficiente (tecnicaturas, universidades, formación profesional).</t>
    </r>
  </si>
  <si>
    <r>
      <rPr>
        <b/>
        <sz val="10"/>
        <rFont val="Arial"/>
        <charset val="1"/>
      </rPr>
      <t xml:space="preserve">5 - Asociativismo y cultura exportadora regional. </t>
    </r>
    <r>
      <rPr>
        <sz val="10"/>
        <rFont val="Arial"/>
        <charset val="1"/>
      </rPr>
      <t>Se considera favorable si hay tradición exportadora, clusters, cámaras y empresas que cooperan (consorcios) en el sector.</t>
    </r>
  </si>
  <si>
    <t>Ámbito Tecnológico y Digital</t>
  </si>
  <si>
    <r>
      <rPr>
        <b/>
        <sz val="10"/>
        <rFont val="Arial"/>
        <charset val="1"/>
      </rPr>
      <t xml:space="preserve">1 - Avances tecnológicos del sector. </t>
    </r>
    <r>
      <rPr>
        <sz val="10"/>
        <rFont val="Arial"/>
        <charset val="1"/>
      </rPr>
      <t>Se considera favorable si la tecnología disponible (maquinaria, secado, automatización, embalaje) es accesible y mejora costos y calidad.</t>
    </r>
  </si>
  <si>
    <r>
      <rPr>
        <b/>
        <sz val="10"/>
        <rFont val="Arial"/>
        <charset val="1"/>
      </rPr>
      <t xml:space="preserve">2 - Conectividad y plataformas de comercio electrónico. </t>
    </r>
    <r>
      <rPr>
        <sz val="10"/>
        <rFont val="Arial"/>
        <charset val="1"/>
      </rPr>
      <t>Se considera favorable si la conectividad de la región y las plataformas B2B permiten vender, negociar y hacer seguimiento a distancia.</t>
    </r>
  </si>
  <si>
    <r>
      <rPr>
        <b/>
        <sz val="10"/>
        <rFont val="Arial"/>
        <charset val="1"/>
      </rPr>
      <t xml:space="preserve">3 - Digitalización del comercio exterior. </t>
    </r>
    <r>
      <rPr>
        <sz val="10"/>
        <rFont val="Arial"/>
        <charset val="1"/>
      </rPr>
      <t>Se considera favorable si existen trámites electrónicos (firma digital, permisos, certificado de origen digital) que reducen tiempo y costo.</t>
    </r>
  </si>
  <si>
    <r>
      <rPr>
        <b/>
        <sz val="10"/>
        <rFont val="Arial"/>
        <charset val="1"/>
      </rPr>
      <t xml:space="preserve">4 - Trazabilidad y certificación digital. </t>
    </r>
    <r>
      <rPr>
        <sz val="10"/>
        <rFont val="Arial"/>
        <charset val="1"/>
      </rPr>
      <t>Se considera favorable si hay herramientas accesibles para demostrar origen y cumplimiento que exigen los compradores.</t>
    </r>
  </si>
  <si>
    <t>Logística e Infraestructura Regional</t>
  </si>
  <si>
    <r>
      <rPr>
        <b/>
        <sz val="10"/>
        <rFont val="Arial"/>
        <charset val="1"/>
      </rPr>
      <t xml:space="preserve">1 - Red vial y conectividad multimodal. </t>
    </r>
    <r>
      <rPr>
        <sz val="10"/>
        <rFont val="Arial"/>
        <charset val="1"/>
      </rPr>
      <t>Se considera favorable si rutas y accesos (p. ej., RN 12 y RN 14) permiten trasladar la carga a frontera y puertos en tiempo y costo razonables.</t>
    </r>
  </si>
  <si>
    <r>
      <rPr>
        <b/>
        <sz val="10"/>
        <rFont val="Arial"/>
        <charset val="1"/>
      </rPr>
      <t xml:space="preserve">2 - Pasos de frontera y puentes internacionales. </t>
    </r>
    <r>
      <rPr>
        <sz val="10"/>
        <rFont val="Arial"/>
        <charset val="1"/>
      </rPr>
      <t>Se considera favorable si los pasos y puentes (p. ej., Posadas–Encarnación, Bernardo de Irigoyen, Puerto Iguazú) operan sin demoras ni costos excesivos.</t>
    </r>
  </si>
  <si>
    <r>
      <rPr>
        <b/>
        <sz val="10"/>
        <rFont val="Arial"/>
        <charset val="1"/>
      </rPr>
      <t xml:space="preserve">3 - Puertos, hidrovía y salida a ultramar. </t>
    </r>
    <r>
      <rPr>
        <sz val="10"/>
        <rFont val="Arial"/>
        <charset val="1"/>
      </rPr>
      <t>Se considera favorable si hay acceso eficiente a puertos fluviales y marítimos y a transporte multimodal para destinos de ultramar.</t>
    </r>
  </si>
  <si>
    <r>
      <rPr>
        <b/>
        <sz val="10"/>
        <rFont val="Arial"/>
        <charset val="1"/>
      </rPr>
      <t xml:space="preserve">4 - Costo y disponibilidad de fletes. </t>
    </r>
    <r>
      <rPr>
        <sz val="10"/>
        <rFont val="Arial"/>
        <charset val="1"/>
      </rPr>
      <t>Se considera favorable si hay oferta de transportistas, contenedores y fletes a costos que no encarecen en exceso el producto.</t>
    </r>
  </si>
  <si>
    <r>
      <rPr>
        <b/>
        <sz val="10"/>
        <rFont val="Arial"/>
        <charset val="1"/>
      </rPr>
      <t xml:space="preserve">5 - Servicios aduaneros locales. </t>
    </r>
    <r>
      <rPr>
        <sz val="10"/>
        <rFont val="Arial"/>
        <charset val="1"/>
      </rPr>
      <t>Se considera favorable si existen aduana, depósitos fiscales, zonas francas o terminales en la provincia que faciliten el despacho local.</t>
    </r>
  </si>
  <si>
    <r>
      <rPr>
        <b/>
        <sz val="10"/>
        <rFont val="Arial"/>
        <charset val="1"/>
      </rPr>
      <t xml:space="preserve">6 - Prestadores logísticos regionales. </t>
    </r>
    <r>
      <rPr>
        <sz val="10"/>
        <rFont val="Arial"/>
        <charset val="1"/>
      </rPr>
      <t>Se considera favorable si hay despachantes, forwarders y operadores logísticos con capacidad y experiencia en la región.</t>
    </r>
  </si>
  <si>
    <r>
      <rPr>
        <b/>
        <sz val="10"/>
        <rFont val="Arial"/>
        <charset val="1"/>
      </rPr>
      <t xml:space="preserve">7 - Energía y servicios públicos industriales. </t>
    </r>
    <r>
      <rPr>
        <sz val="10"/>
        <rFont val="Arial"/>
        <charset val="1"/>
      </rPr>
      <t>Se considera favorable si energía, gas, agua y telecomunicaciones son estables y de costo competitivo para la industria.</t>
    </r>
  </si>
  <si>
    <t>Mercado y Competencia</t>
  </si>
  <si>
    <r>
      <rPr>
        <b/>
        <sz val="10"/>
        <rFont val="Arial"/>
        <charset val="1"/>
      </rPr>
      <t xml:space="preserve">1 - Barreras de entrada al mercado destino. </t>
    </r>
    <r>
      <rPr>
        <sz val="10"/>
        <rFont val="Arial"/>
        <charset val="1"/>
      </rPr>
      <t>Se considera favorable si las barreras de entrada al destino (regulatorias, de distribución, de marca) son superables para una pyme con políticas claras y responsabilidades establecidas.</t>
    </r>
  </si>
  <si>
    <r>
      <rPr>
        <b/>
        <sz val="10"/>
        <rFont val="Arial"/>
        <charset val="1"/>
      </rPr>
      <t xml:space="preserve">2 - Costos de cambio de los clientes externos. </t>
    </r>
    <r>
      <rPr>
        <sz val="10"/>
        <rFont val="Arial"/>
        <charset val="1"/>
      </rPr>
      <t>Se considera favorable si a los compradores les cuesta cambiar de proveedor una vez establecida la relación (calidad, servicio, contrato).</t>
    </r>
  </si>
  <si>
    <r>
      <rPr>
        <b/>
        <sz val="10"/>
        <rFont val="Arial"/>
        <charset val="1"/>
      </rPr>
      <t xml:space="preserve">3 - Tamaño y crecimiento del mercado destino. </t>
    </r>
    <r>
      <rPr>
        <sz val="10"/>
        <rFont val="Arial"/>
        <charset val="1"/>
      </rPr>
      <t>Se considera favorable si el mercado destino no está saturado, es de tamaño relevante y hay posibilidades de incorporar nuevos productos.</t>
    </r>
  </si>
  <si>
    <r>
      <rPr>
        <b/>
        <sz val="10"/>
        <rFont val="Arial"/>
        <charset val="1"/>
      </rPr>
      <t xml:space="preserve">4 - Poder negociador de compradores e importadores. </t>
    </r>
    <r>
      <rPr>
        <sz val="10"/>
        <rFont val="Arial"/>
        <charset val="1"/>
      </rPr>
      <t>Se considera favorable si los compradores están distribuidos y ninguno tiene poder para imponer precio y condiciones; existe cultura de ganar-ganar.</t>
    </r>
  </si>
  <si>
    <r>
      <rPr>
        <b/>
        <sz val="10"/>
        <rFont val="Arial"/>
        <charset val="1"/>
      </rPr>
      <t xml:space="preserve">5 - Rivalidad y competidores internacionales. </t>
    </r>
    <r>
      <rPr>
        <sz val="10"/>
        <rFont val="Arial"/>
        <charset val="1"/>
      </rPr>
      <t>Se considera favorable si la intensidad competitiva permite un espacio para nuevos oferentes y la empresa puede diferenciarse.</t>
    </r>
  </si>
  <si>
    <r>
      <rPr>
        <b/>
        <sz val="10"/>
        <rFont val="Arial"/>
        <charset val="1"/>
      </rPr>
      <t xml:space="preserve">6 - Cambios del mercado e inteligencia comercial. </t>
    </r>
    <r>
      <rPr>
        <sz val="10"/>
        <rFont val="Arial"/>
        <charset val="1"/>
      </rPr>
      <t>Se considera favorable si los cambios del mercado no están ocultos y pueden ser comunicados y medidos con fuentes accesibles.</t>
    </r>
  </si>
  <si>
    <t>Proveedores</t>
  </si>
  <si>
    <r>
      <rPr>
        <b/>
        <sz val="10"/>
        <rFont val="Arial"/>
        <charset val="1"/>
      </rPr>
      <t xml:space="preserve">1 - Cantidad de proveedores. </t>
    </r>
    <r>
      <rPr>
        <sz val="10"/>
        <rFont val="Arial"/>
        <charset val="1"/>
      </rPr>
      <t>Se considera favorable si la cantidad de proveedores locales y regionales permite negociar precios y condiciones.</t>
    </r>
  </si>
  <si>
    <r>
      <rPr>
        <b/>
        <sz val="10"/>
        <rFont val="Arial"/>
        <charset val="1"/>
      </rPr>
      <t xml:space="preserve">2 - Calidad y cumplimiento de proveedores. </t>
    </r>
    <r>
      <rPr>
        <sz val="10"/>
        <rFont val="Arial"/>
        <charset val="1"/>
      </rPr>
      <t>Se considera favorable si los proveedores cumplen calidad, plazos y certificaciones necesarias para el producto exportable.</t>
    </r>
  </si>
  <si>
    <r>
      <rPr>
        <b/>
        <sz val="10"/>
        <rFont val="Arial"/>
        <charset val="1"/>
      </rPr>
      <t xml:space="preserve">3 - Poder negociador de los proveedores. </t>
    </r>
    <r>
      <rPr>
        <sz val="10"/>
        <rFont val="Arial"/>
        <charset val="1"/>
      </rPr>
      <t>Se considera favorable si ningún proveedor es único ni concentra más del 40% de las compras.</t>
    </r>
  </si>
  <si>
    <r>
      <rPr>
        <b/>
        <sz val="10"/>
        <rFont val="Arial"/>
        <charset val="1"/>
      </rPr>
      <t xml:space="preserve">4 - Disponibilidad y estacionalidad de materia prima. </t>
    </r>
    <r>
      <rPr>
        <sz val="10"/>
        <rFont val="Arial"/>
        <charset val="1"/>
      </rPr>
      <t>Se considera favorable si la materia prima regional (madera, hoja verde, cítricos, etc.) está disponible en volumen y calidad durante todo el año.</t>
    </r>
  </si>
  <si>
    <t>Sustitutos de los Productos Ofrecidos</t>
  </si>
  <si>
    <r>
      <rPr>
        <b/>
        <sz val="10"/>
        <rFont val="Arial"/>
        <charset val="1"/>
      </rPr>
      <t xml:space="preserve">1 - Costos de los sustitutos. </t>
    </r>
    <r>
      <rPr>
        <sz val="10"/>
        <rFont val="Arial"/>
        <charset val="1"/>
      </rPr>
      <t>Se considera favorable si los sustitutos del producto tienen costos más altos que los del producto de la empresa.</t>
    </r>
  </si>
  <si>
    <r>
      <rPr>
        <b/>
        <sz val="10"/>
        <rFont val="Arial"/>
        <charset val="1"/>
      </rPr>
      <t xml:space="preserve">2 - Cantidad y tendencia de sustitutos. </t>
    </r>
    <r>
      <rPr>
        <sz val="10"/>
        <rFont val="Arial"/>
        <charset val="1"/>
      </rPr>
      <t>Se considera favorable si la cantidad de sustitutos y las tendencias de consumo no ponen en riesgo la demanda del producto.</t>
    </r>
  </si>
  <si>
    <t>Ámbito Ambiental, Sanitario y Climático</t>
  </si>
  <si>
    <r>
      <rPr>
        <b/>
        <sz val="10"/>
        <rFont val="Arial"/>
        <charset val="1"/>
      </rPr>
      <t xml:space="preserve">1 - Regulación ambiental y forestal. </t>
    </r>
    <r>
      <rPr>
        <sz val="10"/>
        <rFont val="Arial"/>
        <charset val="1"/>
      </rPr>
      <t>Se considera favorable si la normativa ambiental, forestal y de debida diligencia (nacional y del destino) es clara y la empresa puede cumplirla a un costo razonable.</t>
    </r>
  </si>
  <si>
    <r>
      <rPr>
        <b/>
        <sz val="10"/>
        <rFont val="Arial"/>
        <charset val="1"/>
      </rPr>
      <t xml:space="preserve">2 - Requisitos sanitarios y fitosanitarios del destino. </t>
    </r>
    <r>
      <rPr>
        <sz val="10"/>
        <rFont val="Arial"/>
        <charset val="1"/>
      </rPr>
      <t>Se considera favorable si los requisitos sanitarios y fitosanitarios del destino (SENASA, INAL/ANMAT y autoridades de importación) son claros y alcanzables.</t>
    </r>
  </si>
  <si>
    <r>
      <rPr>
        <b/>
        <sz val="10"/>
        <rFont val="Arial"/>
        <charset val="1"/>
      </rPr>
      <t xml:space="preserve">3 - Certificaciones exigidas por los compradores. </t>
    </r>
    <r>
      <rPr>
        <sz val="10"/>
        <rFont val="Arial"/>
        <charset val="1"/>
      </rPr>
      <t>Se considera favorable si las certificaciones que exigen los compradores (forestales, orgánicas, de inocuidad, de calidad) son accesibles en costo y tiempo.</t>
    </r>
  </si>
  <si>
    <r>
      <rPr>
        <b/>
        <sz val="10"/>
        <rFont val="Arial"/>
        <charset val="1"/>
      </rPr>
      <t xml:space="preserve">4 - Riesgo climático y de cosecha. </t>
    </r>
    <r>
      <rPr>
        <sz val="10"/>
        <rFont val="Arial"/>
        <charset val="1"/>
      </rPr>
      <t>Se considera favorable si los eventos climáticos (sequías, heladas, lluvias intensas) no afectan de manera recurrente la disponibilidad de materia prima ni la logística.</t>
    </r>
  </si>
  <si>
    <t>GUÍA DE ENTREVISTA – Preguntas abiertas por factor (para el relevamiento a la empresa)</t>
  </si>
  <si>
    <t>Formule la pregunta guía, pida la evidencia indicada y recién entonces marque situación e impacto en FormularioFODA. Las columnas H e I orientan cómo leer cada factor cuando la empresa entrevistada NO exporta todavía y evalúa iniciar (ver también LEEME §8).</t>
  </si>
  <si>
    <t>Área / bloque Canvas</t>
  </si>
  <si>
    <t>Factor</t>
  </si>
  <si>
    <t>Pregunta guía para la entrevista</t>
  </si>
  <si>
    <t>Evidencia a solicitar / fuente a consultar</t>
  </si>
  <si>
    <t>Fila en FormularioFODA</t>
  </si>
  <si>
    <t>Quién responde</t>
  </si>
  <si>
    <t>Si la empresa NO exporta: cómo leer la Situación</t>
  </si>
  <si>
    <t>IA1</t>
  </si>
  <si>
    <t>Definición de segmentos y países objetivo</t>
  </si>
  <si>
    <t>¿A qué tipo de clientes y en qué países querría vender? ¿Con qué datos lo decidió?</t>
  </si>
  <si>
    <t>Lista de países y segmentos priorizados; estudio o fuente consultada.</t>
  </si>
  <si>
    <t>Empresario: datos de cartera y experiencia actuales. Estudiante: investigación de países y segmentos candidatos, a validar con el empresario.</t>
  </si>
  <si>
    <t>Favorable si, aunque nunca exportó, el equipo ya identificó con datos 2-3 países/segmentos candidatos (puede ser trabajo del estudiante avalado por el empresario). Si no hay ese trabajo previo, es Desfavorable real, no 'No corresponde'.</t>
  </si>
  <si>
    <t>IA2</t>
  </si>
  <si>
    <t>Conocimiento de las necesidades del cliente externo</t>
  </si>
  <si>
    <t>¿Qué le exigiría un comprador de Brasil, Paraguay u otro destino que hoy no le piden en Argentina?</t>
  </si>
  <si>
    <t>Consultas o cotizaciones recibidas del exterior; fichas de requisitos.</t>
  </si>
  <si>
    <t>Sin exportar, esto casi siempre será Desfavorable o Muy desfavorable: es una brecha real de información, regístrela así en vez de neutralizarla.</t>
  </si>
  <si>
    <t>IA3</t>
  </si>
  <si>
    <t>Concentración de clientes</t>
  </si>
  <si>
    <t>¿Qué porcentaje de las ventas representa su mayor cliente? ¿Y los tres mayores?</t>
  </si>
  <si>
    <t>Ranking de clientes por facturación del último año.</t>
  </si>
  <si>
    <t>No cambia: se responde con la cartera de clientes doméstica actual, exporte o no la empresa.</t>
  </si>
  <si>
    <t>IA4</t>
  </si>
  <si>
    <t>Experiencia previa exportadora</t>
  </si>
  <si>
    <t>¿Exportó directa o indirectamente, o cotizó alguna vez a un cliente del exterior? ¿Qué aprendió?</t>
  </si>
  <si>
    <t>Facturas de exportación, permisos de embarque o cotizaciones.</t>
  </si>
  <si>
    <t>Si nunca exportó ni cotizó, marque Muy Desfavorable con naturalidad: es la respuesta correcta, no un fracaso del formulario. Su Impacto suele ser menor en un primer proyecto acompañado por una cámara, consorcio o la propia tecnicatura.</t>
  </si>
  <si>
    <t>IA5</t>
  </si>
  <si>
    <t>Acceso a información de mercados</t>
  </si>
  <si>
    <t>¿De dónde obtiene información sobre precios, demanda y competidores en el exterior?</t>
  </si>
  <si>
    <t>Fuentes o informes utilizados; suscripciones o contactos institucionales.</t>
  </si>
  <si>
    <t>Evalúe con lo que el empresario y el equipo estudiante ya reunieron a la fecha de la entrevista, aunque sea incipiente.</t>
  </si>
  <si>
    <t>IB1</t>
  </si>
  <si>
    <t>Diferenciación del producto</t>
  </si>
  <si>
    <t>¿Por qué un comprador del exterior le compraría a usted y no a otro proveedor?</t>
  </si>
  <si>
    <t>Fichas técnicas, muestras, testimonios de clientes, premios.</t>
  </si>
  <si>
    <t>Empresario, con apoyo del estudiante para comparar el producto contra los requisitos del destino elegido.</t>
  </si>
  <si>
    <t>Se responde igual, exporte o no la empresa: use la evidencia doméstica disponible como capacidad transferible.</t>
  </si>
  <si>
    <t>IB2</t>
  </si>
  <si>
    <t>Adecuación a requisitos del mercado destino</t>
  </si>
  <si>
    <t>¿Qué cambios necesitaría el producto, el envase o la etiqueta para venderse en el país objetivo?</t>
  </si>
  <si>
    <t>Comparación de requisitos del destino frente al producto actual.</t>
  </si>
  <si>
    <t>IB3</t>
  </si>
  <si>
    <t>Certificaciones y normas de producto</t>
  </si>
  <si>
    <t>¿Qué certificaciones tiene vigentes y cuáles le piden sus clientes potenciales?</t>
  </si>
  <si>
    <t>Certificados vigentes con fecha de vencimiento.</t>
  </si>
  <si>
    <t>IB4</t>
  </si>
  <si>
    <t>Competitividad de precio internacional</t>
  </si>
  <si>
    <t>¿Conoce a qué precio vende la competencia en el destino? ¿Cómo se compara el suyo puesto en frontera o puerto?</t>
  </si>
  <si>
    <t>Comparativo de precios (fuente pública o listas de compradores).</t>
  </si>
  <si>
    <t>IB5</t>
  </si>
  <si>
    <t>Marca, presentación y material comercial</t>
  </si>
  <si>
    <t>¿Tiene la marca registrada (y en el país destino)? ¿Cuenta con catálogo en otro idioma?</t>
  </si>
  <si>
    <t>Constancia de registro de marca; catálogo y sitio web.</t>
  </si>
  <si>
    <t>IB6</t>
  </si>
  <si>
    <t>Origen e identidad regional</t>
  </si>
  <si>
    <t>¿Su producto comunica su origen? ¿Los compradores lo valoran?</t>
  </si>
  <si>
    <t>Sellos de origen, historia de marca, material promocional.</t>
  </si>
  <si>
    <t>IB7</t>
  </si>
  <si>
    <t>Amplitud de línea y desarrollo de nuevos productos</t>
  </si>
  <si>
    <t>¿Cuántas líneas o productos podría ofrecer al exterior y qué desarrollos tiene previstos?</t>
  </si>
  <si>
    <t>Catálogo de productos; proyectos de desarrollo.</t>
  </si>
  <si>
    <t>IC1</t>
  </si>
  <si>
    <t>Canales de comercialización externos</t>
  </si>
  <si>
    <t>¿A través de quién vendería en el exterior? ¿Qué canales evaluó?</t>
  </si>
  <si>
    <t>Mapa de canales; contactos iniciales.</t>
  </si>
  <si>
    <t>Empresario: situación comercial/digital actual. Estudiante: propuesta de canales externos, a validar con el empresario.</t>
  </si>
  <si>
    <t>Es una propuesta, no un hecho: se marca según la investigación del estudiante y la apertura real del empresario a usar ese canal.</t>
  </si>
  <si>
    <t>IC2</t>
  </si>
  <si>
    <t>Presencia digital y venta online</t>
  </si>
  <si>
    <t>¿Recibe consultas por web o redes sociales? ¿En qué idioma y con qué demora responde?</t>
  </si>
  <si>
    <t>Sitio web, métricas de contacto.</t>
  </si>
  <si>
    <t>Se evalúa la situación digital ACTUAL de la empresa (sitio, redes, tiempos de respuesta): es una capacidad transferible, no requiere haber exportado.</t>
  </si>
  <si>
    <t>IC3</t>
  </si>
  <si>
    <t>Promoción internacional</t>
  </si>
  <si>
    <t>¿Participó en ferias o rondas de negocios? ¿Qué presupuesto de promoción tiene?</t>
  </si>
  <si>
    <t>Registro de ferias y rondas; presupuesto de promoción.</t>
  </si>
  <si>
    <t>Si nunca participó de una feria o ronda de negocios, Desfavorable/Muy desfavorable es la respuesta honesta.</t>
  </si>
  <si>
    <t>IC4</t>
  </si>
  <si>
    <t>Logística y embalaje de exportación</t>
  </si>
  <si>
    <t>¿Sabe cómo enviaría la mercadería (embalaje, transporte, seguro) y qué Incoterm ofrecería?</t>
  </si>
  <si>
    <t>Cotizaciones de flete; especificación de embalaje.</t>
  </si>
  <si>
    <t>Se evalúa la capacidad técnica de adaptar embalaje y transporte actuales, aunque nunca se hayan usado para exportar.</t>
  </si>
  <si>
    <t>IC5</t>
  </si>
  <si>
    <t>Gestión documental y aduanera</t>
  </si>
  <si>
    <t>¿Qué documentos necesita para exportar y quién los gestionaría?</t>
  </si>
  <si>
    <t>Checklist documental; contacto con despachante.</t>
  </si>
  <si>
    <t>Se evalúa el conocimiento o la disposición a averiguarlo (¿sabe a quién consultar?), no la experiencia previa en despachos.</t>
  </si>
  <si>
    <t>ID1</t>
  </si>
  <si>
    <t>Atención y postventa internacional</t>
  </si>
  <si>
    <t>¿Quién atendería a un cliente del exterior y en qué plazos?</t>
  </si>
  <si>
    <t>Procedimiento o responsable designado.</t>
  </si>
  <si>
    <t>Empresario (capacidades transferibles del mercado interno: idioma, contratos, atención, reclamos).</t>
  </si>
  <si>
    <t>Se evalúa la estructura de atención actual y su capacidad de adaptarse a un cliente a distancia y en otro huso horario.</t>
  </si>
  <si>
    <t>ID2</t>
  </si>
  <si>
    <t>Comunicación en idioma extranjero</t>
  </si>
  <si>
    <t>¿Quién de la empresa puede negociar en portugués o inglés?</t>
  </si>
  <si>
    <t>Perfil del personal; servicios de traducción contratados.</t>
  </si>
  <si>
    <t>Capacidad real del personal hoy, exporte o no la empresa.</t>
  </si>
  <si>
    <t>ID3</t>
  </si>
  <si>
    <t>Contratos y condiciones con compradores</t>
  </si>
  <si>
    <t>¿Usa contratos o condiciones generales de venta? ¿Cómo verifica la solvencia de un comprador?</t>
  </si>
  <si>
    <t>Modelo de contrato; informes comerciales.</t>
  </si>
  <si>
    <t>Se evalúa el uso actual de contratos o condiciones de venta con clientes domésticos, como capacidad transferible a un comprador externo.</t>
  </si>
  <si>
    <t>ID4</t>
  </si>
  <si>
    <t>Fidelización y recompra</t>
  </si>
  <si>
    <t>¿Qué porcentaje de los clientes vuelve a comprar? ¿Cómo los mantiene?</t>
  </si>
  <si>
    <t>Tasa de recompra; acuerdos vigentes.</t>
  </si>
  <si>
    <t>Dato doméstico real: aplica igual exporte o no la empresa.</t>
  </si>
  <si>
    <t>ID5</t>
  </si>
  <si>
    <t>Gestión de reclamos y devoluciones</t>
  </si>
  <si>
    <t>¿Cómo resuelve hoy un reclamo? ¿Podría hacerlo con un cliente a distancia?</t>
  </si>
  <si>
    <t>Registro de reclamos y tiempos de resolución.</t>
  </si>
  <si>
    <t>IE1</t>
  </si>
  <si>
    <t>Evolución de ventas</t>
  </si>
  <si>
    <t>¿Cómo evolucionaron las ventas en los últimos tres años?</t>
  </si>
  <si>
    <t>Facturación anual de tres años.</t>
  </si>
  <si>
    <t>Empresario: datos reales de ventas y margen. Estudiante: construcción del costeo/precio de exportación hipotético, a validar con el empresario.</t>
  </si>
  <si>
    <t>IE2</t>
  </si>
  <si>
    <t>Fijación de precio de exportación</t>
  </si>
  <si>
    <t>¿Cómo calcularía el precio en dólares de una venta al exterior?</t>
  </si>
  <si>
    <t>Planilla de costeo de exportación.</t>
  </si>
  <si>
    <t>Se evalúa si existe (o puede construirse con ayuda del estudiante) un método de costeo, no si ya se aplicó a una venta real.</t>
  </si>
  <si>
    <t>IE3</t>
  </si>
  <si>
    <t>Margen del producto exportable</t>
  </si>
  <si>
    <t>¿Qué margen deja el producto hoy y cuánto podría ceder para exportar?</t>
  </si>
  <si>
    <t>Margen por producto.</t>
  </si>
  <si>
    <t>Se estima a partir del margen doméstico actual y de cuánto podría ceder la empresa, sin necesidad de una venta de exportación real.</t>
  </si>
  <si>
    <t>IE4</t>
  </si>
  <si>
    <t>Medios y condiciones de cobro</t>
  </si>
  <si>
    <t>¿Cómo cobraría una venta al exterior y qué riesgo aceptaría?</t>
  </si>
  <si>
    <t>Instrumentos habilitados con su banco.</t>
  </si>
  <si>
    <t>Se evalúa el conocimiento y la disposición del empresario y su banco, no una operación ya realizada.</t>
  </si>
  <si>
    <t>IE5</t>
  </si>
  <si>
    <t>Diversificación de ingresos</t>
  </si>
  <si>
    <t>¿De cuántos productos, clientes o mercados depende su facturación?</t>
  </si>
  <si>
    <t>Composición de ventas.</t>
  </si>
  <si>
    <t>IE6</t>
  </si>
  <si>
    <t>Resistencia a variaciones cambiarias</t>
  </si>
  <si>
    <t>¿Qué pasa con su rentabilidad si el tipo de cambio se mueve un 10%?</t>
  </si>
  <si>
    <t>Sensibilidad de márgenes; proporción de costos en dólares.</t>
  </si>
  <si>
    <t>Dato doméstico real: sensibilidad de costos y márgenes actuales frente al tipo de cambio.</t>
  </si>
  <si>
    <t>IF1</t>
  </si>
  <si>
    <t>Capacidad instalada y ociosa</t>
  </si>
  <si>
    <t>¿Qué porcentaje de su capacidad usa hoy? ¿Podría producir un pedido exportable sin frenar al resto?</t>
  </si>
  <si>
    <t>Capacidad nominal frente a producción real.</t>
  </si>
  <si>
    <t>Empresario (recursos productivos, financieros y humanos propios).</t>
  </si>
  <si>
    <t>IF2</t>
  </si>
  <si>
    <t>Estado y tecnología de la maquinaria</t>
  </si>
  <si>
    <t>¿Qué equipos limitan calidad o volumen? ¿Qué inversión requeriría reemplazarlos?</t>
  </si>
  <si>
    <t>Inventario de equipos y antigüedad.</t>
  </si>
  <si>
    <t>IF3</t>
  </si>
  <si>
    <t>Personal calificado</t>
  </si>
  <si>
    <t>¿Cuenta con personal formado y estable en los puestos críticos?</t>
  </si>
  <si>
    <t>Nómina por calificación; índice de rotación.</t>
  </si>
  <si>
    <t>IF4</t>
  </si>
  <si>
    <t>Formación continua y capacitación en comercio exterior</t>
  </si>
  <si>
    <t>¿Capacita a su personal? ¿Alguien tiene formación en comercio exterior?</t>
  </si>
  <si>
    <t>Plan de capacitación; certificados.</t>
  </si>
  <si>
    <t>IF5</t>
  </si>
  <si>
    <t>Capital de trabajo y capacidad financiera</t>
  </si>
  <si>
    <t>¿Podría afrontar 60 a 90 días de plazo de cobro y los costos de embarque?</t>
  </si>
  <si>
    <t>Flujo de fondos; líneas bancarias.</t>
  </si>
  <si>
    <t>IF6</t>
  </si>
  <si>
    <t>Sistemas de información y gestión</t>
  </si>
  <si>
    <t>¿Su sistema permite facturar en moneda extranjera y seguir pedidos?</t>
  </si>
  <si>
    <t>Sistema utilizado; capturas o reportes.</t>
  </si>
  <si>
    <t>IF7</t>
  </si>
  <si>
    <t>Infraestructura, depósitos y conservación</t>
  </si>
  <si>
    <t>¿Cómo conserva y almacena el producto terminado? ¿Tiene espacio para consolidar un embarque?</t>
  </si>
  <si>
    <t>Fotos, planos y condiciones de depósito.</t>
  </si>
  <si>
    <t>IF8</t>
  </si>
  <si>
    <t>Habilitaciones y registros oficiales</t>
  </si>
  <si>
    <t>¿Qué habilitaciones y registros tiene vigentes? ¿Está inscripta como exportadora?</t>
  </si>
  <si>
    <t>Constancias vigentes.</t>
  </si>
  <si>
    <t>IG1</t>
  </si>
  <si>
    <t>Descripción técnica y estandarización</t>
  </si>
  <si>
    <t>¿Existen procedimientos escritos? ¿Obtiene siempre la misma calidad?</t>
  </si>
  <si>
    <t>Manuales y diagramas de flujo.</t>
  </si>
  <si>
    <t>Empresario, con relevamiento en planta del estudiante cuando sea posible.</t>
  </si>
  <si>
    <t>IG2</t>
  </si>
  <si>
    <t>Mantenimiento y continuidad operativa</t>
  </si>
  <si>
    <t>¿Cuántas paradas no planificadas tuvo el último año?</t>
  </si>
  <si>
    <t>Registro de paradas; plan de mantenimiento.</t>
  </si>
  <si>
    <t>IG3</t>
  </si>
  <si>
    <t>Planificación de producción y abastecimiento</t>
  </si>
  <si>
    <t>¿Con cuánta anticipación planifica? ¿Puede comprometer un volumen mensual firme?</t>
  </si>
  <si>
    <t>Plan de producción.</t>
  </si>
  <si>
    <t>IG4</t>
  </si>
  <si>
    <t>Gestión de calidad</t>
  </si>
  <si>
    <t>¿Qué controles de calidad realiza? ¿Tiene alguna norma implementada?</t>
  </si>
  <si>
    <t>Manual y registros de calidad.</t>
  </si>
  <si>
    <t>IG5</t>
  </si>
  <si>
    <t>Trazabilidad y control de stock</t>
  </si>
  <si>
    <t>¿Puede rastrear un lote desde la materia prima hasta el cliente?</t>
  </si>
  <si>
    <t>Registros de lote; inventario.</t>
  </si>
  <si>
    <t>IG6</t>
  </si>
  <si>
    <t>Cumplimiento de plazos de entrega</t>
  </si>
  <si>
    <t>¿Qué porcentaje de los pedidos entrega a tiempo y completos?</t>
  </si>
  <si>
    <t>Indicador de cumplimiento de entregas.</t>
  </si>
  <si>
    <t>IG7</t>
  </si>
  <si>
    <t>Mejora de procesos e I+D</t>
  </si>
  <si>
    <t>¿Qué mejoras implementó y qué proyectos tiene en marcha?</t>
  </si>
  <si>
    <t>Proyectos e inversiones.</t>
  </si>
  <si>
    <t>IG8</t>
  </si>
  <si>
    <t>Gestión ambiental y de residuos</t>
  </si>
  <si>
    <t>¿Cuenta con habilitación ambiental? ¿Cómo gestiona residuos y subproductos?</t>
  </si>
  <si>
    <t>Permisos y registros ambientales.</t>
  </si>
  <si>
    <t>IG9</t>
  </si>
  <si>
    <t>Seguridad e higiene laboral</t>
  </si>
  <si>
    <t>¿Hay programa de seguridad e higiene? ¿Cuál es su índice de accidentes?</t>
  </si>
  <si>
    <t>Programa y estadísticas de accidentes.</t>
  </si>
  <si>
    <t>IH1</t>
  </si>
  <si>
    <t>Proveedores estratégicos</t>
  </si>
  <si>
    <t>¿Cuáles son los proveedores críticos y qué alternativa tiene para cada uno?</t>
  </si>
  <si>
    <t>Listado de proveedores y porcentaje de compras.</t>
  </si>
  <si>
    <t>Empresario: proveedores y socios actuales. Estudiante: identificación de despachante/forwarder y programas de apoyo.</t>
  </si>
  <si>
    <t>IH2</t>
  </si>
  <si>
    <t>Alianzas comerciales</t>
  </si>
  <si>
    <t>¿Trabajaría con un consorcio o un agente? ¿Tiene contactos?</t>
  </si>
  <si>
    <t>Acuerdos o cartas de intención.</t>
  </si>
  <si>
    <t>IH3</t>
  </si>
  <si>
    <t>Socios logísticos y aduaneros</t>
  </si>
  <si>
    <t>¿Con qué despachante o forwarder trabajaría? ¿Ya pidió cotización?</t>
  </si>
  <si>
    <t>Cotizaciones recibidas.</t>
  </si>
  <si>
    <t>IH4</t>
  </si>
  <si>
    <t>Apoyo institucional</t>
  </si>
  <si>
    <t>¿Participa en alguna cámara o programa de apoyo a exportadores?</t>
  </si>
  <si>
    <t>Membresías y programas en los que participa.</t>
  </si>
  <si>
    <t>IH5</t>
  </si>
  <si>
    <t>Socios financieros y de seguros</t>
  </si>
  <si>
    <t>¿Su banco opera comercio exterior? ¿Qué líneas utilizó?</t>
  </si>
  <si>
    <t>Líneas y pólizas vigentes.</t>
  </si>
  <si>
    <t>IH6</t>
  </si>
  <si>
    <t>Tercerización y subcontratación</t>
  </si>
  <si>
    <t>¿Qué procesos terceriza y con qué grado de dependencia?</t>
  </si>
  <si>
    <t>Contratos de tercerización.</t>
  </si>
  <si>
    <t>II1</t>
  </si>
  <si>
    <t>Costos fijos</t>
  </si>
  <si>
    <t>¿Cómo evolucionaron los costos fijos el último año?</t>
  </si>
  <si>
    <t>Estado de resultados.</t>
  </si>
  <si>
    <t>Empresario (costos, precios y endeudamiento reales), con el estudiante armando el costeo de exportación.</t>
  </si>
  <si>
    <t>II2</t>
  </si>
  <si>
    <t>Punto de equilibrio y escala mínima exportable</t>
  </si>
  <si>
    <t>¿Cuál es el volumen mínimo por contenedor o camión que sería rentable?</t>
  </si>
  <si>
    <t>Cálculo del punto de equilibrio.</t>
  </si>
  <si>
    <t>II3</t>
  </si>
  <si>
    <t>Sistema de costos de exportación</t>
  </si>
  <si>
    <t>¿Sabe cuánto cuesta producir y colocar un producto en destino?</t>
  </si>
  <si>
    <t>Planilla de costos por producto.</t>
  </si>
  <si>
    <t>II4</t>
  </si>
  <si>
    <t>Costo de materias primas</t>
  </si>
  <si>
    <t>¿Cuánto varía el costo de su materia prima durante el año?</t>
  </si>
  <si>
    <t>Historial de precios de compra.</t>
  </si>
  <si>
    <t>II5</t>
  </si>
  <si>
    <t>Costos logísticos y de comercio exterior</t>
  </si>
  <si>
    <t>¿Qué porcentaje del precio representarían fletes y gastos de exportación?</t>
  </si>
  <si>
    <t>Cotizaciones logísticas.</t>
  </si>
  <si>
    <t>II6</t>
  </si>
  <si>
    <t>Endeudamiento</t>
  </si>
  <si>
    <t>¿Cuál es su nivel de endeudamiento y su costo financiero?</t>
  </si>
  <si>
    <t>Balance y detalle de deudas.</t>
  </si>
  <si>
    <t>IJ1</t>
  </si>
  <si>
    <t>Estrategia y objetivos de largo plazo</t>
  </si>
  <si>
    <t>¿Qué lugar tiene la exportación en su plan a 3 o 5 años?</t>
  </si>
  <si>
    <t>Plan escrito o acta de directorio.</t>
  </si>
  <si>
    <t>Dirección de la empresa (empresario o socios): estas preguntas son sobre compromiso y decisión, no requieren datos externos.</t>
  </si>
  <si>
    <t>IJ2</t>
  </si>
  <si>
    <t>Compromiso de la dirección</t>
  </si>
  <si>
    <t>¿Qué recursos está dispuesto a comprometer en los próximos 12 meses?</t>
  </si>
  <si>
    <t>Presupuesto asignado.</t>
  </si>
  <si>
    <t>IJ3</t>
  </si>
  <si>
    <t>Estructura y responsable de comercio exterior</t>
  </si>
  <si>
    <t>¿Quién sería el responsable de exportar? ¿Tiene tiempo para hacerlo?</t>
  </si>
  <si>
    <t>Organigrama.</t>
  </si>
  <si>
    <t>IJ4</t>
  </si>
  <si>
    <t>Conocimiento de la competencia internacional</t>
  </si>
  <si>
    <t>¿Quiénes serían sus tres competidores en el destino y cómo compiten?</t>
  </si>
  <si>
    <t>Análisis de competidores.</t>
  </si>
  <si>
    <t>IJ5</t>
  </si>
  <si>
    <t>Capacidad de anticipación a los cambios</t>
  </si>
  <si>
    <t>¿Qué haría si cambian las reglas de exportación o el tipo de cambio?</t>
  </si>
  <si>
    <t>Planes de contingencia.</t>
  </si>
  <si>
    <t>IJ6</t>
  </si>
  <si>
    <t>Cultura empresarial y estilo de dirección</t>
  </si>
  <si>
    <t>¿Cómo se toman las decisiones? ¿La organización está abierta a cambiar?</t>
  </si>
  <si>
    <t>Observación en la entrevista.</t>
  </si>
  <si>
    <t>IJ7</t>
  </si>
  <si>
    <t>Herramientas de planificación y control</t>
  </si>
  <si>
    <t>¿Qué indicadores controla todos los meses?</t>
  </si>
  <si>
    <t>Tablero de indicadores.</t>
  </si>
  <si>
    <t>EA1</t>
  </si>
  <si>
    <t>Política de comercio exterior</t>
  </si>
  <si>
    <t>¿Qué cambios normativos afectaron sus operaciones o su decisión de exportar?</t>
  </si>
  <si>
    <t>Boletín Oficial; normativa de ARCA-Aduana y del organismo sectorial.</t>
  </si>
  <si>
    <t>Estudiante (investigación normativa: Boletín Oficial, aduana, ARCA); validar con contador/despachante si la empresa tiene uno.</t>
  </si>
  <si>
    <t>No depende de si la empresa exporta: describe el entorno o el mercado destino, no a la empresa.</t>
  </si>
  <si>
    <t>EA2</t>
  </si>
  <si>
    <t>Acuerdos comerciales y preferencias arancelarias</t>
  </si>
  <si>
    <t>¿Su producto paga arancel en el destino? ¿Existe alguna preferencia?</t>
  </si>
  <si>
    <t>Aranceles por posición arancelaria en Market Access Map (ITC) y normativa del Mercosur.</t>
  </si>
  <si>
    <t>EA3</t>
  </si>
  <si>
    <t>Barreras arancelarias y técnicas del destino</t>
  </si>
  <si>
    <t>¿Qué exige la aduana del país destino para su producto?</t>
  </si>
  <si>
    <t>Posición arancelaria del producto; requisitos de importación del destino.</t>
  </si>
  <si>
    <t>EA4</t>
  </si>
  <si>
    <t>Trámites y aduana</t>
  </si>
  <si>
    <t>¿Cuánto tarda y cuánto cuesta un despacho de exportación?</t>
  </si>
  <si>
    <t>Experiencia de despachantes; tiempos de despacho.</t>
  </si>
  <si>
    <t>EA5</t>
  </si>
  <si>
    <t>Promoción y fomento a exportadores</t>
  </si>
  <si>
    <t>¿Conoce programas de apoyo a exportadores? ¿Accedió alguna vez?</t>
  </si>
  <si>
    <t>Convocatorias vigentes de organismos nacionales y provinciales.</t>
  </si>
  <si>
    <t>EA6</t>
  </si>
  <si>
    <t>Propiedad intelectual y seguridad jurídica</t>
  </si>
  <si>
    <t>¿Registró su marca? ¿Tuvo dificultades para hacer cumplir un contrato?</t>
  </si>
  <si>
    <t>Registro de marcas; modelos de contrato internacional.</t>
  </si>
  <si>
    <t>EB1</t>
  </si>
  <si>
    <t>Crecimiento económico y ciclo</t>
  </si>
  <si>
    <t>¿Cómo influye el ciclo económico sobre sus ventas?</t>
  </si>
  <si>
    <t>Informes macroeconómicos de organismos oficiales e internacionales.</t>
  </si>
  <si>
    <t>Estudiante (fuentes macroeconómicas y bancarias); el empresario aporta su situación financiera y de acceso al crédito.</t>
  </si>
  <si>
    <t>EB2</t>
  </si>
  <si>
    <t>Crecimiento sectorial del rubro</t>
  </si>
  <si>
    <t>¿Cómo evoluciona la demanda mundial de su producto?</t>
  </si>
  <si>
    <t>Trade Map (ITC); informes de cámaras sectoriales.</t>
  </si>
  <si>
    <t>EB3</t>
  </si>
  <si>
    <t>Tipo de cambio y competitividad</t>
  </si>
  <si>
    <t>¿Con el tipo de cambio actual, exporta siendo competitivo?</t>
  </si>
  <si>
    <t>Tipo de cambio real multilateral; costos en dólares.</t>
  </si>
  <si>
    <t>EB4</t>
  </si>
  <si>
    <t>Inflación y costos internos</t>
  </si>
  <si>
    <t>¿Qué costos suben más rápido que su precio en dólares?</t>
  </si>
  <si>
    <t>Índices de precios y de costos del sector.</t>
  </si>
  <si>
    <t>EB5</t>
  </si>
  <si>
    <t>Financiamiento y crédito para exportar</t>
  </si>
  <si>
    <t>¿Accede a créditos para producir y exportar? ¿A qué tasa y plazo?</t>
  </si>
  <si>
    <t>Líneas bancarias públicas y privadas.</t>
  </si>
  <si>
    <t>EB6</t>
  </si>
  <si>
    <t>Cobros y acceso a divisas</t>
  </si>
  <si>
    <t>¿Tuvo restricciones o demoras para cobrar o pagar operaciones?</t>
  </si>
  <si>
    <t>Normativa cambiaria del BCRA.</t>
  </si>
  <si>
    <t>EB7</t>
  </si>
  <si>
    <t>Impuestos, derechos de exportación y reintegros</t>
  </si>
  <si>
    <t>¿Cuánto pesan impuestos y derechos sobre su precio de exportación?</t>
  </si>
  <si>
    <t>Alícuotas vigentes; asesoramiento contable.</t>
  </si>
  <si>
    <t>EB8</t>
  </si>
  <si>
    <t>Precios internacionales del producto</t>
  </si>
  <si>
    <t>¿Cuál es el precio internacional de referencia y cuánto varía en el año?</t>
  </si>
  <si>
    <t>Series de precios y estadísticas de comercio.</t>
  </si>
  <si>
    <t>EC1</t>
  </si>
  <si>
    <t>Afinidad cultural y hábitos de consumo</t>
  </si>
  <si>
    <t>¿Se consume su producto en el destino? ¿De qué manera?</t>
  </si>
  <si>
    <t>Estudios de mercado; consulados y cámaras binacionales.</t>
  </si>
  <si>
    <t>Estudiante (investigación cultural y del sector); el empresario aporta su percepción de clientes actuales del rubro.</t>
  </si>
  <si>
    <t>EC2</t>
  </si>
  <si>
    <t>Idioma y cercanía cultural</t>
  </si>
  <si>
    <t>¿En qué idioma negociaría? ¿Conoce las costumbres comerciales del destino?</t>
  </si>
  <si>
    <t>Guías de negociación intercultural.</t>
  </si>
  <si>
    <t>EC3</t>
  </si>
  <si>
    <t>Valoración del origen y la sustentabilidad</t>
  </si>
  <si>
    <t>¿Sus clientes piden información sobre origen o sustentabilidad?</t>
  </si>
  <si>
    <t>Requisitos de compradores; tendencias de consumo.</t>
  </si>
  <si>
    <t>EC4</t>
  </si>
  <si>
    <t>Formación técnica y mano de obra regional</t>
  </si>
  <si>
    <t>¿Le resulta fácil conseguir personal calificado en la región?</t>
  </si>
  <si>
    <t>Oferta educativa provincial; bolsas de empleo.</t>
  </si>
  <si>
    <t>EC5</t>
  </si>
  <si>
    <t>Asociativismo y cultura exportadora regional</t>
  </si>
  <si>
    <t>¿Existen consorcios, cámaras o cluster de su rubro en la región?</t>
  </si>
  <si>
    <t>Nómina de cámaras y entes sectoriales.</t>
  </si>
  <si>
    <t>ED1</t>
  </si>
  <si>
    <t>Avances tecnológicos del sector</t>
  </si>
  <si>
    <t>¿Qué tecnología del sector le permitiría competir mejor y está a su alcance?</t>
  </si>
  <si>
    <t>Proveedores de tecnología; INTA y centros tecnológicos.</t>
  </si>
  <si>
    <t>Estudiante (investigación tecnológica y digital); el empresario informa su conectividad y sistemas actuales.</t>
  </si>
  <si>
    <t>ED2</t>
  </si>
  <si>
    <t>Conectividad y plataformas de comercio electrónico</t>
  </si>
  <si>
    <t>¿Cómo es la conectividad en su planta y qué plataformas conoce para vender afuera?</t>
  </si>
  <si>
    <t>Plataformas y marketplaces B2B del rubro.</t>
  </si>
  <si>
    <t>ED3</t>
  </si>
  <si>
    <t>Digitalización del comercio exterior</t>
  </si>
  <si>
    <t>¿Qué trámites de exportación puede hacer hoy de forma electrónica?</t>
  </si>
  <si>
    <t>Servicios digitales de ARCA-Aduana y ventanilla única.</t>
  </si>
  <si>
    <t>ED4</t>
  </si>
  <si>
    <t>Trazabilidad y certificación digital</t>
  </si>
  <si>
    <t>¿Sus compradores le piden trazabilidad digital? ¿Qué herramientas tiene disponibles?</t>
  </si>
  <si>
    <t>Requisitos de compradores; herramientas de trazabilidad.</t>
  </si>
  <si>
    <t>EE1</t>
  </si>
  <si>
    <t>Red vial y conectividad multimodal</t>
  </si>
  <si>
    <t>¿Cómo es hoy el traslado de su mercadería hacia frontera y puertos?</t>
  </si>
  <si>
    <t>Estado de rutas; tiempos y costos de transporte.</t>
  </si>
  <si>
    <t>Estudiante (investigación de rutas, pasos de frontera, puertos y prestadores logísticos regionales).</t>
  </si>
  <si>
    <t>EE2</t>
  </si>
  <si>
    <t>Pasos de frontera y puentes internacionales</t>
  </si>
  <si>
    <t>¿Qué demoras o costos tiene el paso de frontera que usaría?</t>
  </si>
  <si>
    <t>Tiempos de cruce; tarifas y horarios operativos.</t>
  </si>
  <si>
    <t>EE3</t>
  </si>
  <si>
    <t>Puertos, hidrovía y salida a ultramar</t>
  </si>
  <si>
    <t>¿Cómo llegaría su carga a un puerto para exportar a ultramar?</t>
  </si>
  <si>
    <t>Operadores portuarios y navieros; costos de traslado.</t>
  </si>
  <si>
    <t>EE4</t>
  </si>
  <si>
    <t>Costo y disponibilidad de fletes</t>
  </si>
  <si>
    <t>¿Qué cotizaciones de flete obtuvo y cómo pesan sobre el precio?</t>
  </si>
  <si>
    <t>Cotizaciones de transportistas y forwarders.</t>
  </si>
  <si>
    <t>EE5</t>
  </si>
  <si>
    <t>Servicios aduaneros locales</t>
  </si>
  <si>
    <t>¿Puede despachar su mercadería en la provincia o debe trasladarla a otra aduana?</t>
  </si>
  <si>
    <t>Oferta de servicios aduaneros y depósitos fiscales.</t>
  </si>
  <si>
    <t>EE6</t>
  </si>
  <si>
    <t>Prestadores logísticos regionales</t>
  </si>
  <si>
    <t>¿Encuentra despachantes y forwarders con experiencia en su rubro?</t>
  </si>
  <si>
    <t>Directorio de prestadores logísticos.</t>
  </si>
  <si>
    <t>EE7</t>
  </si>
  <si>
    <t>Energía y servicios públicos industriales</t>
  </si>
  <si>
    <t>¿Con qué frecuencia sufre cortes o variaciones de tensión? ¿Cuánto pesa la energía en sus costos?</t>
  </si>
  <si>
    <t>Facturas de energía; registro de cortes.</t>
  </si>
  <si>
    <t>EF1</t>
  </si>
  <si>
    <t>Barreras de entrada al mercado destino</t>
  </si>
  <si>
    <t>¿Qué le impediría ingresar al mercado destino?</t>
  </si>
  <si>
    <t>Análisis del destino; consultas a importadores.</t>
  </si>
  <si>
    <t>Estudiante (investigación de mercado destino y competidores).</t>
  </si>
  <si>
    <t>EF2</t>
  </si>
  <si>
    <t>Costos de cambio de los clientes externos</t>
  </si>
  <si>
    <t>¿Qué haría que un comprador no cambie de proveedor?</t>
  </si>
  <si>
    <t>Contratos y relaciones vigentes del sector.</t>
  </si>
  <si>
    <t>EF3</t>
  </si>
  <si>
    <t>Tamaño y crecimiento del mercado destino</t>
  </si>
  <si>
    <t>¿Qué tamaño tiene el mercado destino para su producto y cómo evoluciona?</t>
  </si>
  <si>
    <t>Trade Map (ITC); estadísticas de importación del destino.</t>
  </si>
  <si>
    <t>EF4</t>
  </si>
  <si>
    <t>Poder negociador de compradores e importadores</t>
  </si>
  <si>
    <t>¿Pocos importadores concentran las compras del destino?</t>
  </si>
  <si>
    <t>Estructura de importadores y distribuidores del destino.</t>
  </si>
  <si>
    <t>EF5</t>
  </si>
  <si>
    <t>Rivalidad y competidores internacionales</t>
  </si>
  <si>
    <t>¿Quiénes son los principales proveedores del destino y en qué se diferencian?</t>
  </si>
  <si>
    <t>Principales proveedores en Trade Map; ferias del sector.</t>
  </si>
  <si>
    <t>EF6</t>
  </si>
  <si>
    <t>Cambios del mercado e inteligencia comercial</t>
  </si>
  <si>
    <t>¿Cómo se entera de los cambios en precios o demanda del exterior?</t>
  </si>
  <si>
    <t>Boletines sectoriales; estadísticas de comercio exterior.</t>
  </si>
  <si>
    <t>EG1</t>
  </si>
  <si>
    <t>Cantidad de proveedores</t>
  </si>
  <si>
    <t>¿Cuántos proveedores tiene para cada insumo crítico?</t>
  </si>
  <si>
    <t>Listado de proveedores por insumo.</t>
  </si>
  <si>
    <t>Empresario (proveedores y materia prima que ya usa), con el estudiante evaluando alternativas si hace falta.</t>
  </si>
  <si>
    <t>EG2</t>
  </si>
  <si>
    <t>Calidad y cumplimiento de proveedores</t>
  </si>
  <si>
    <t>¿Sus proveedores cumplen calidad y plazos? ¿Le pueden entregar certificados?</t>
  </si>
  <si>
    <t>Registro de cumplimiento de proveedores.</t>
  </si>
  <si>
    <t>EG3</t>
  </si>
  <si>
    <t>Poder negociador de los proveedores</t>
  </si>
  <si>
    <t>¿Hay algún proveedor sin alternativa real o que supere el 40% de sus compras?</t>
  </si>
  <si>
    <t>Concentración de compras por proveedor.</t>
  </si>
  <si>
    <t>EG4</t>
  </si>
  <si>
    <t>Disponibilidad y estacionalidad de materia prima</t>
  </si>
  <si>
    <t>¿Tiene faltantes o picos de precio de su materia prima según la temporada?</t>
  </si>
  <si>
    <t>Calendario de cosecha; precios históricos de materia prima.</t>
  </si>
  <si>
    <t>EH1</t>
  </si>
  <si>
    <t>Costos de los sustitutos</t>
  </si>
  <si>
    <t>¿Qué productos podrían reemplazar al suyo y a qué precio?</t>
  </si>
  <si>
    <t>Precios de productos sustitutos.</t>
  </si>
  <si>
    <t>Estudiante (investigación de productos sustitutos en el destino).</t>
  </si>
  <si>
    <t>EH2</t>
  </si>
  <si>
    <t>Cantidad y tendencia de sustitutos</t>
  </si>
  <si>
    <t>¿Qué alternativas ganan lugar en el consumo de su rubro?</t>
  </si>
  <si>
    <t>Estudios de tendencias de consumo.</t>
  </si>
  <si>
    <t>EI1</t>
  </si>
  <si>
    <t>Regulación ambiental y forestal</t>
  </si>
  <si>
    <t>¿Qué exigencias ambientales o de origen legal del producto piden sus compradores?</t>
  </si>
  <si>
    <t>Normativa ambiental provincial y nacional; requisitos del destino.</t>
  </si>
  <si>
    <t>Estudiante (normativa ambiental/sanitaria del origen y destino); el empresario informa sus habilitaciones vigentes.</t>
  </si>
  <si>
    <t>EI2</t>
  </si>
  <si>
    <t>Requisitos sanitarios y fitosanitarios del destino</t>
  </si>
  <si>
    <t>¿Qué exige la autoridad sanitaria del destino para su producto?</t>
  </si>
  <si>
    <t>Requisitos de organismos sanitarios de origen y destino.</t>
  </si>
  <si>
    <t>EI3</t>
  </si>
  <si>
    <t>Certificaciones exigidas por los compradores</t>
  </si>
  <si>
    <t>¿Qué certificaciones le piden y cuánto cuestan y tardan?</t>
  </si>
  <si>
    <t>Entes certificadores; requisitos de compradores.</t>
  </si>
  <si>
    <t>EI4</t>
  </si>
  <si>
    <t>Riesgo climático y de cosecha</t>
  </si>
  <si>
    <t>¿Qué eventos climáticos afectaron su producción o su transporte en los últimos años?</t>
  </si>
  <si>
    <t>Registros climáticos; seguros agropecuarios.</t>
  </si>
  <si>
    <t>Izq. arriba: Fortalezas-Oportunidades | Der. arriba: Fortalezas-Amenazas | Izq. abajo: Debilidades-Oportunidades | Der. abajo: Debilidades-Amenazas</t>
  </si>
  <si>
    <t>AREA INTERNA - VISTO DESDE EL MODELO CANVAS</t>
  </si>
  <si>
    <t>Fortalezas Oportunidades</t>
  </si>
  <si>
    <t>Fortalezas Amenazas</t>
  </si>
  <si>
    <t>Debilidades Oportunidades</t>
  </si>
  <si>
    <t>Debilidades Amenazas</t>
  </si>
  <si>
    <t>Variables no Consideradas</t>
  </si>
  <si>
    <t>Total de cruces</t>
  </si>
  <si>
    <t>% sobre cruces evaluados</t>
  </si>
  <si>
    <t>Oportunidades</t>
  </si>
  <si>
    <t>Amenazas</t>
  </si>
  <si>
    <t>Fortalezas</t>
  </si>
  <si>
    <t>Debilidades</t>
  </si>
  <si>
    <t>Datos auxiliares del gráfico de burbujas (no borrar)</t>
  </si>
  <si>
    <t>Cuadrante</t>
  </si>
  <si>
    <t>X</t>
  </si>
  <si>
    <t>Y</t>
  </si>
  <si>
    <t>Tamaño (%)</t>
  </si>
  <si>
    <t>FO - Ofensiva</t>
  </si>
  <si>
    <t>FA - Defensiva</t>
  </si>
  <si>
    <t>DO - Reorientación</t>
  </si>
  <si>
    <t>DA - Supervivencia</t>
  </si>
  <si>
    <t>AMBITO INTERNO</t>
  </si>
  <si>
    <t>Factores Internos</t>
  </si>
  <si>
    <t>Fortalezas-Oportunidades</t>
  </si>
  <si>
    <t>Fortalezas-Amenazas</t>
  </si>
  <si>
    <t>Debilidades-Oportunidades</t>
  </si>
  <si>
    <t>Debilidades-Amenazas</t>
  </si>
  <si>
    <t>Variables no consideradas</t>
  </si>
  <si>
    <t>Se cruza cada factor interno con las variables externas de las que depende (hoja VariablesFoda); el cuadrante surge de la situación cargada.</t>
  </si>
  <si>
    <t>variable independiente</t>
  </si>
  <si>
    <t>OPORTUNIDADES</t>
  </si>
  <si>
    <t>AMENAZAS</t>
  </si>
  <si>
    <t>Situación Ideal</t>
  </si>
  <si>
    <t>Situación Peor</t>
  </si>
  <si>
    <t>Situación Actual</t>
  </si>
  <si>
    <t>Factores Favorables</t>
  </si>
  <si>
    <t>Factores Adversos</t>
  </si>
  <si>
    <t>AMBIENTE EXTERNO - ENTORNO DE EXPORTACIÓN</t>
  </si>
  <si>
    <t>CUADRO DE EVOLUCIÓN INTERNA</t>
  </si>
  <si>
    <t>CUADRO DE EVOLUCIÓN EXTERNA</t>
  </si>
  <si>
    <t>Situación Actual: promedio ponderado por impacto, de -1 (muy desfavorable) a +1 (muy favorable).</t>
  </si>
  <si>
    <t>DIAGNÓSTICO DE VIABILIDAD EXPORTADORA – Primer diagnóstico FODA/DAFO/SWOT</t>
  </si>
  <si>
    <t>Datos de la empresa (completar)</t>
  </si>
  <si>
    <t>Empresa</t>
  </si>
  <si>
    <t>Ejemplo: Aserradero Norte S.R.L. (Eldorado, Misiones)</t>
  </si>
  <si>
    <t>Rubro / producto</t>
  </si>
  <si>
    <t>Mercado(s) objetivo</t>
  </si>
  <si>
    <t>Relevado por (equipo)</t>
  </si>
  <si>
    <t>Fecha del relevamiento</t>
  </si>
  <si>
    <t>Perfil de la empresa</t>
  </si>
  <si>
    <t>Parámetros del diagnóstico (editables)</t>
  </si>
  <si>
    <t>Umbral VIABLE (puntaje promedio mínimo, escala 0-10)</t>
  </si>
  <si>
    <t>Supuesto del diseño: 7 = 'Favorable' en promedio. 5 = 'Desfavorable' en el límite (semáforo original). Válido para ambos perfiles de empresa.</t>
  </si>
  <si>
    <t>Umbral VIABLE CON CONDICIONES (puntaje mínimo)</t>
  </si>
  <si>
    <t>CAPACIDAD INTERNA (Canvas)</t>
  </si>
  <si>
    <t>Puntaje ponderado (0-10)</t>
  </si>
  <si>
    <t>Semáforo</t>
  </si>
  <si>
    <t>Ítems evaluados</t>
  </si>
  <si>
    <t>Alertas (ítems &lt; 5 pts)</t>
  </si>
  <si>
    <t>Índice global (promedio de áreas con datos)</t>
  </si>
  <si>
    <t>ENTORNO EXTERNO (mercado, país y logística)</t>
  </si>
  <si>
    <t>AVANCE DEL RELEVAMIENTO</t>
  </si>
  <si>
    <t>CONCLUSIÓN DE VIABILIDAD (regla automática)</t>
  </si>
  <si>
    <t>Criterio: se comparan el índice interno y el externo con los umbrales C11 y C12. Válido para empresas exportadoras y para empresas que evalúan iniciar.</t>
  </si>
  <si>
    <t>ESTRATEGIA DOMINANTE SEGÚN MATRIZ FODA</t>
  </si>
  <si>
    <t>Cruces</t>
  </si>
  <si>
    <t>% del total</t>
  </si>
  <si>
    <t>Orientación estratégica</t>
  </si>
  <si>
    <t>Fortalezas-Oportunidades (FO)</t>
  </si>
  <si>
    <t>Ofensiva: usar las fortalezas para aprovechar las oportunidades del mercado.</t>
  </si>
  <si>
    <t>Fortalezas-Amenazas (FA)</t>
  </si>
  <si>
    <t>Defensiva: usar las fortalezas para neutralizar amenazas del entorno.</t>
  </si>
  <si>
    <t>Debilidades-Oportunidades (DO)</t>
  </si>
  <si>
    <t>Reorientación: superar debilidades para capturar oportunidades.</t>
  </si>
  <si>
    <t>Debilidades-Amenazas (DA)</t>
  </si>
  <si>
    <t>Supervivencia: reducir debilidades y evitar amenazas; no exportar aún.</t>
  </si>
  <si>
    <t>Cuadrante con mayor peso</t>
  </si>
  <si>
    <t>Valor del Factor</t>
  </si>
  <si>
    <t>Peso Relativo</t>
  </si>
  <si>
    <t>Muy Desf.</t>
  </si>
  <si>
    <t>Desf.</t>
  </si>
  <si>
    <t>Fav.</t>
  </si>
  <si>
    <t>Muy Fav.</t>
  </si>
  <si>
    <t>Factores</t>
  </si>
  <si>
    <t>Pts</t>
  </si>
  <si>
    <t>%</t>
  </si>
  <si>
    <t>Valor</t>
  </si>
  <si>
    <t>Situación ponderada</t>
  </si>
  <si>
    <t>Total Segmentos de Clientes</t>
  </si>
  <si>
    <t>Total Propuesta de Valor</t>
  </si>
  <si>
    <t>Total Canales</t>
  </si>
  <si>
    <t>Total Relación con Clientes</t>
  </si>
  <si>
    <t>Total Fuentes de Ingresos</t>
  </si>
  <si>
    <t>Total Recursos Clave</t>
  </si>
  <si>
    <t>Total Actividades Clave</t>
  </si>
  <si>
    <t>Total Socios Clave</t>
  </si>
  <si>
    <t>Total Estructura de Costos</t>
  </si>
  <si>
    <t>Total Gestión y Compromiso Exportador</t>
  </si>
  <si>
    <t>Total Ámbito Político/Legal y Regulatorio</t>
  </si>
  <si>
    <t>Total Ámbito Económico/Financiero/Cambiario</t>
  </si>
  <si>
    <t>Total Ámbito Sociocultural</t>
  </si>
  <si>
    <t>Total Ámbito Tecnológico y Digital</t>
  </si>
  <si>
    <t>Total Logística e Infraestructura Regional</t>
  </si>
  <si>
    <t>Total Mercado y Competencia</t>
  </si>
  <si>
    <t>Total Proveedores</t>
  </si>
  <si>
    <t>Total Sustitutos de los Productos Ofrecidos</t>
  </si>
  <si>
    <t>Total Ámbito Ambiental, Sanitario y Climático</t>
  </si>
  <si>
    <t>Variables dependientes (internas)</t>
  </si>
  <si>
    <t>Variables Independientes (externas de las que depende)</t>
  </si>
  <si>
    <t>Variables externas (independientes)</t>
  </si>
  <si>
    <t>Ámbito</t>
  </si>
  <si>
    <t>Meta</t>
  </si>
  <si>
    <t>Logro</t>
  </si>
  <si>
    <t>Peso Relat</t>
  </si>
  <si>
    <t>var</t>
  </si>
  <si>
    <t>LP</t>
  </si>
  <si>
    <t>AP</t>
  </si>
  <si>
    <t>L%</t>
  </si>
  <si>
    <t>R</t>
  </si>
  <si>
    <t>Puntos</t>
  </si>
  <si>
    <t>Valor Pond</t>
  </si>
  <si>
    <t>Colorimetría</t>
  </si>
  <si>
    <t>Ptos Ponderados</t>
  </si>
  <si>
    <t>Situación</t>
  </si>
  <si>
    <t>Mayor a 10</t>
  </si>
  <si>
    <t>Excelencia</t>
  </si>
  <si>
    <t>8 a 10</t>
  </si>
  <si>
    <t>Bueno</t>
  </si>
  <si>
    <t>5 a 8</t>
  </si>
  <si>
    <t>Regular</t>
  </si>
  <si>
    <t>Menor a 5</t>
  </si>
  <si>
    <t>Alarmante</t>
  </si>
  <si>
    <t>Puntos: escala 0-10 (Situación 1-5 convertida con la tabla de la hoja Rango).</t>
  </si>
  <si>
    <t>Desde</t>
  </si>
  <si>
    <t>Hasta</t>
  </si>
  <si>
    <t>Nota: Soporta hasta 100 rangos</t>
  </si>
  <si>
    <t>Tabla de conversión: % de logro de la situación (columna Hasta) -&gt; puntos (Pts). Se interpola linealmente entre rangos.</t>
  </si>
  <si>
    <t>Desarrollado y Preparado por el Prof. Hugo César Galván.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</si>
</sst>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6"/>
      <name val="Arial"/>
      <charset val="1"/>
    </font>
    <font>
      <i/>
      <sz val="10"/>
      <name val="Arial"/>
      <charset val="1"/>
    </font>
    <font>
      <b/>
      <sz val="11"/>
      <name val="Arial"/>
      <charset val="1"/>
    </font>
    <font>
      <sz val="10"/>
      <name val="Arial"/>
      <charset val="1"/>
    </font>
    <font>
      <b/>
      <sz val="9"/>
      <name val="Arial"/>
      <charset val="1"/>
    </font>
    <font>
      <sz val="9"/>
      <name val="Arial"/>
      <charset val="1"/>
    </font>
    <font>
      <b/>
      <sz val="10"/>
      <name val="Arial"/>
      <charset val="1"/>
    </font>
    <font>
      <i/>
      <sz val="9"/>
      <name val="Arial"/>
      <charset val="1"/>
    </font>
    <font>
      <b/>
      <sz val="18"/>
      <name val="Arial"/>
      <charset val="1"/>
    </font>
    <font>
      <sz val="6"/>
      <name val="Arial"/>
      <charset val="1"/>
    </font>
    <font>
      <b/>
      <sz val="12"/>
      <name val="Arial"/>
      <charset val="1"/>
    </font>
    <font>
      <i/>
      <sz val="8"/>
      <name val="Arial"/>
      <charset val="1"/>
    </font>
    <font>
      <sz val="10"/>
      <color rgb="FF7F7F7F"/>
      <name val="Arial"/>
      <charset val="1"/>
    </font>
    <font>
      <b/>
      <sz val="14"/>
      <name val="Arial"/>
      <charset val="1"/>
    </font>
    <font>
      <i/>
      <sz val="10"/>
      <color rgb="FF7F7F7F"/>
      <name val="Arial"/>
      <charset val="1"/>
    </font>
    <font>
      <i/>
      <sz val="9"/>
      <color rgb="FFC00000"/>
      <name val="Arial"/>
      <charset val="1"/>
    </font>
    <font>
      <sz val="10"/>
      <color rgb="FF0000FF"/>
      <name val="Arial"/>
      <charset val="1"/>
    </font>
    <font>
      <sz val="9"/>
      <color rgb="FFC00000"/>
      <name val="Arial"/>
      <charset val="1"/>
    </font>
    <font>
      <sz val="8"/>
      <name val="Arial"/>
      <charset val="1"/>
    </font>
    <font>
      <i/>
      <sz val="10"/>
      <name val="Arial"/>
      <family val="2"/>
    </font>
  </fonts>
  <fills count="10">
    <fill>
      <patternFill patternType="none"/>
    </fill>
    <fill>
      <patternFill patternType="gray125"/>
    </fill>
    <fill>
      <patternFill patternType="solid">
        <fgColor rgb="FFD9D9D9"/>
        <bgColor rgb="FFC6E0B4"/>
      </patternFill>
    </fill>
    <fill>
      <patternFill patternType="solid">
        <fgColor rgb="FFF2F2F2"/>
        <bgColor rgb="FFF9F9F9"/>
      </patternFill>
    </fill>
    <fill>
      <patternFill patternType="solid">
        <fgColor rgb="FFFFF2CC"/>
        <bgColor rgb="FFFFFFCC"/>
      </patternFill>
    </fill>
    <fill>
      <patternFill patternType="solid">
        <fgColor rgb="FFBFBFBF"/>
        <bgColor rgb="FF9DC3E6"/>
      </patternFill>
    </fill>
    <fill>
      <patternFill patternType="solid">
        <fgColor rgb="FF9DC3E6"/>
        <bgColor rgb="FFBFBFBF"/>
      </patternFill>
    </fill>
    <fill>
      <patternFill patternType="solid">
        <fgColor rgb="FF63BE7B"/>
        <bgColor rgb="FF70AD47"/>
      </patternFill>
    </fill>
    <fill>
      <patternFill patternType="solid">
        <fgColor rgb="FFFFEB84"/>
        <bgColor rgb="FFFFF2CC"/>
      </patternFill>
    </fill>
    <fill>
      <patternFill patternType="solid">
        <fgColor rgb="FFF8696B"/>
        <bgColor rgb="FFFF8080"/>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dashed">
        <color auto="1"/>
      </left>
      <right style="dashed">
        <color auto="1"/>
      </right>
      <top style="dashed">
        <color auto="1"/>
      </top>
      <bottom style="dashed">
        <color auto="1"/>
      </bottom>
      <diagonal/>
    </border>
    <border>
      <left/>
      <right/>
      <top/>
      <bottom style="hair">
        <color auto="1"/>
      </bottom>
      <diagonal/>
    </border>
    <border>
      <left/>
      <right/>
      <top style="medium">
        <color auto="1"/>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5">
    <xf numFmtId="0" fontId="0" fillId="0" borderId="0" xfId="0"/>
    <xf numFmtId="0" fontId="7" fillId="3" borderId="1" xfId="0" applyFont="1" applyFill="1" applyBorder="1"/>
    <xf numFmtId="0" fontId="6" fillId="0" borderId="1" xfId="0" applyFont="1" applyBorder="1" applyAlignment="1">
      <alignment horizontal="left" vertical="center" wrapText="1"/>
    </xf>
    <xf numFmtId="0" fontId="5" fillId="3" borderId="1" xfId="0" applyFont="1" applyFill="1" applyBorder="1"/>
    <xf numFmtId="0" fontId="4" fillId="0" borderId="0" xfId="0" applyFont="1"/>
    <xf numFmtId="0" fontId="1" fillId="0" borderId="0" xfId="0" applyFont="1"/>
    <xf numFmtId="0" fontId="2" fillId="0" borderId="0" xfId="0" applyFont="1"/>
    <xf numFmtId="0" fontId="3" fillId="2" borderId="0" xfId="0" applyFont="1" applyFill="1"/>
    <xf numFmtId="0" fontId="0" fillId="2" borderId="0" xfId="0" applyFill="1"/>
    <xf numFmtId="0" fontId="5"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4" borderId="1" xfId="0" applyFont="1" applyFill="1" applyBorder="1" applyAlignment="1">
      <alignment horizontal="center" vertical="center"/>
    </xf>
    <xf numFmtId="0" fontId="7" fillId="0" borderId="0" xfId="0" applyFont="1"/>
    <xf numFmtId="0" fontId="6" fillId="0" borderId="1" xfId="0" applyFont="1" applyBorder="1" applyAlignment="1">
      <alignment horizontal="center" vertical="center" wrapText="1"/>
    </xf>
    <xf numFmtId="0" fontId="8" fillId="0" borderId="0" xfId="0" applyFont="1"/>
    <xf numFmtId="0" fontId="3" fillId="0" borderId="0" xfId="0" applyFont="1"/>
    <xf numFmtId="0" fontId="9" fillId="0" borderId="1" xfId="0" applyFont="1" applyBorder="1" applyAlignment="1">
      <alignment horizontal="center" vertical="center"/>
    </xf>
    <xf numFmtId="0" fontId="4" fillId="3" borderId="1" xfId="0" applyFont="1" applyFill="1" applyBorder="1" applyAlignment="1">
      <alignment horizontal="center" textRotation="90"/>
    </xf>
    <xf numFmtId="0" fontId="7" fillId="5" borderId="0" xfId="0" applyFont="1" applyFill="1" applyAlignment="1">
      <alignment horizontal="center"/>
    </xf>
    <xf numFmtId="0" fontId="0" fillId="5" borderId="0" xfId="0" applyFill="1"/>
    <xf numFmtId="0" fontId="7" fillId="2" borderId="0" xfId="0" applyFont="1" applyFill="1" applyAlignment="1">
      <alignment horizontal="center"/>
    </xf>
    <xf numFmtId="0" fontId="7" fillId="0" borderId="3" xfId="0" applyFont="1" applyBorder="1" applyAlignment="1">
      <alignment vertical="center" wrapText="1"/>
    </xf>
    <xf numFmtId="1" fontId="10" fillId="0" borderId="0" xfId="0" applyNumberFormat="1" applyFont="1" applyAlignment="1">
      <alignment horizontal="center"/>
    </xf>
    <xf numFmtId="0" fontId="4" fillId="4" borderId="3" xfId="0" applyFont="1" applyFill="1" applyBorder="1" applyAlignment="1">
      <alignment horizontal="center" vertical="center"/>
    </xf>
    <xf numFmtId="0" fontId="6" fillId="0" borderId="3" xfId="0" applyFont="1" applyBorder="1" applyAlignment="1">
      <alignment vertical="center" wrapText="1"/>
    </xf>
    <xf numFmtId="0" fontId="6" fillId="0" borderId="0" xfId="0" applyFont="1" applyAlignment="1">
      <alignment horizontal="center" vertical="center"/>
    </xf>
    <xf numFmtId="0" fontId="11" fillId="0" borderId="0" xfId="0" applyFont="1"/>
    <xf numFmtId="0" fontId="7" fillId="2" borderId="1" xfId="0" applyFont="1" applyFill="1" applyBorder="1" applyAlignment="1">
      <alignment horizontal="center" vertical="center" wrapText="1"/>
    </xf>
    <xf numFmtId="0" fontId="6" fillId="0" borderId="4" xfId="0" applyFont="1" applyBorder="1" applyAlignment="1">
      <alignment horizontal="center" vertical="top" wrapText="1"/>
    </xf>
    <xf numFmtId="0" fontId="6" fillId="0" borderId="4" xfId="0" applyFont="1" applyBorder="1" applyAlignment="1">
      <alignment vertical="top" wrapText="1"/>
    </xf>
    <xf numFmtId="0" fontId="12" fillId="0" borderId="0" xfId="0" applyFont="1"/>
    <xf numFmtId="0" fontId="7" fillId="0" borderId="5" xfId="0" applyFont="1" applyBorder="1" applyAlignment="1">
      <alignment horizontal="center" vertical="center" wrapText="1"/>
    </xf>
    <xf numFmtId="0" fontId="4" fillId="0" borderId="0" xfId="0" applyFont="1" applyAlignment="1">
      <alignment horizontal="center"/>
    </xf>
    <xf numFmtId="0" fontId="7" fillId="0" borderId="1" xfId="0" applyFont="1" applyBorder="1" applyAlignment="1">
      <alignment horizontal="center"/>
    </xf>
    <xf numFmtId="9" fontId="4" fillId="0" borderId="0" xfId="0" applyNumberFormat="1" applyFont="1" applyAlignment="1">
      <alignment horizontal="center"/>
    </xf>
    <xf numFmtId="0" fontId="4" fillId="0" borderId="1" xfId="0" applyFont="1" applyBorder="1" applyAlignment="1">
      <alignment horizontal="center"/>
    </xf>
    <xf numFmtId="0" fontId="5" fillId="0" borderId="0" xfId="0" applyFont="1"/>
    <xf numFmtId="0" fontId="6" fillId="0" borderId="0" xfId="0" applyFont="1"/>
    <xf numFmtId="9" fontId="6" fillId="0" borderId="0" xfId="0" applyNumberFormat="1" applyFont="1"/>
    <xf numFmtId="0" fontId="3" fillId="0" borderId="6" xfId="0" applyFont="1" applyBorder="1" applyAlignment="1">
      <alignment vertical="center" wrapText="1"/>
    </xf>
    <xf numFmtId="0" fontId="7" fillId="0" borderId="0" xfId="0" applyFont="1" applyAlignment="1">
      <alignment vertical="top" wrapText="1"/>
    </xf>
    <xf numFmtId="0" fontId="13" fillId="0" borderId="0" xfId="0" applyFont="1"/>
    <xf numFmtId="0" fontId="3" fillId="0" borderId="6" xfId="0" applyFont="1" applyBorder="1"/>
    <xf numFmtId="0" fontId="4" fillId="0" borderId="4" xfId="0" applyFont="1" applyBorder="1"/>
    <xf numFmtId="0" fontId="7" fillId="3" borderId="6" xfId="0" applyFont="1" applyFill="1" applyBorder="1" applyAlignment="1">
      <alignment horizontal="center" wrapText="1"/>
    </xf>
    <xf numFmtId="0" fontId="7" fillId="0" borderId="7" xfId="0" applyFont="1" applyBorder="1"/>
    <xf numFmtId="9" fontId="4" fillId="0" borderId="0" xfId="0" applyNumberFormat="1" applyFont="1" applyAlignment="1">
      <alignment horizontal="right"/>
    </xf>
    <xf numFmtId="0" fontId="14" fillId="0" borderId="0" xfId="0" applyFont="1"/>
    <xf numFmtId="0" fontId="17" fillId="4" borderId="1" xfId="0" applyFont="1" applyFill="1" applyBorder="1" applyAlignment="1">
      <alignment horizontal="center"/>
    </xf>
    <xf numFmtId="0" fontId="7" fillId="3" borderId="1" xfId="0" applyFont="1" applyFill="1" applyBorder="1" applyAlignment="1">
      <alignment horizontal="center" vertical="center" wrapText="1"/>
    </xf>
    <xf numFmtId="0" fontId="4" fillId="0" borderId="1" xfId="0" applyFont="1" applyBorder="1"/>
    <xf numFmtId="2" fontId="4" fillId="0" borderId="1" xfId="0" applyNumberFormat="1" applyFont="1" applyBorder="1" applyAlignment="1">
      <alignment horizontal="center"/>
    </xf>
    <xf numFmtId="0" fontId="7" fillId="2" borderId="1" xfId="0" applyFont="1" applyFill="1" applyBorder="1"/>
    <xf numFmtId="2" fontId="7" fillId="2" borderId="1" xfId="0" applyNumberFormat="1" applyFont="1" applyFill="1" applyBorder="1" applyAlignment="1">
      <alignment horizontal="center"/>
    </xf>
    <xf numFmtId="0" fontId="7" fillId="2" borderId="1" xfId="0" applyFont="1" applyFill="1" applyBorder="1" applyAlignment="1">
      <alignment horizontal="center"/>
    </xf>
    <xf numFmtId="0" fontId="18" fillId="0" borderId="0" xfId="0" applyFont="1"/>
    <xf numFmtId="0" fontId="4" fillId="0" borderId="1" xfId="0" applyFont="1" applyBorder="1" applyAlignment="1">
      <alignment horizontal="center" vertical="center"/>
    </xf>
    <xf numFmtId="9" fontId="4" fillId="0" borderId="1" xfId="0" applyNumberFormat="1" applyFont="1" applyBorder="1" applyAlignment="1">
      <alignment horizontal="center" vertical="center"/>
    </xf>
    <xf numFmtId="0" fontId="19" fillId="0" borderId="0" xfId="0" applyFont="1" applyAlignment="1">
      <alignment horizontal="center"/>
    </xf>
    <xf numFmtId="2" fontId="4" fillId="0" borderId="0" xfId="0" applyNumberFormat="1" applyFont="1"/>
    <xf numFmtId="9" fontId="7" fillId="0" borderId="0" xfId="0" applyNumberFormat="1" applyFont="1" applyAlignment="1">
      <alignment horizontal="center"/>
    </xf>
    <xf numFmtId="2" fontId="7" fillId="0" borderId="0" xfId="0" applyNumberFormat="1" applyFont="1"/>
    <xf numFmtId="9" fontId="4" fillId="0" borderId="0" xfId="0" applyNumberFormat="1" applyFont="1"/>
    <xf numFmtId="2" fontId="4" fillId="0" borderId="0" xfId="0" applyNumberFormat="1" applyFont="1" applyAlignment="1">
      <alignment horizontal="center"/>
    </xf>
    <xf numFmtId="0" fontId="4" fillId="6" borderId="0" xfId="0" applyFont="1" applyFill="1"/>
    <xf numFmtId="0" fontId="4" fillId="7" borderId="0" xfId="0" applyFont="1" applyFill="1"/>
    <xf numFmtId="0" fontId="4" fillId="8" borderId="0" xfId="0" applyFont="1" applyFill="1"/>
    <xf numFmtId="0" fontId="4" fillId="9" borderId="0" xfId="0" applyFont="1" applyFill="1"/>
    <xf numFmtId="2" fontId="7" fillId="0" borderId="0" xfId="0" applyNumberFormat="1" applyFont="1" applyAlignment="1">
      <alignment horizontal="center"/>
    </xf>
    <xf numFmtId="0" fontId="20" fillId="0" borderId="0" xfId="0" applyFont="1"/>
    <xf numFmtId="0" fontId="4" fillId="0" borderId="0" xfId="0" applyFont="1" applyAlignment="1">
      <alignment vertical="top" wrapText="1"/>
    </xf>
    <xf numFmtId="0" fontId="6" fillId="0" borderId="1" xfId="0" applyFont="1" applyBorder="1" applyAlignment="1">
      <alignment horizontal="left" vertical="center" wrapText="1"/>
    </xf>
    <xf numFmtId="0" fontId="4" fillId="0" borderId="0" xfId="0" applyFont="1"/>
    <xf numFmtId="0" fontId="5" fillId="3" borderId="1" xfId="0" applyFont="1" applyFill="1" applyBorder="1"/>
    <xf numFmtId="0" fontId="2" fillId="0" borderId="0" xfId="0" applyFont="1" applyAlignment="1">
      <alignment vertical="top" wrapText="1"/>
    </xf>
    <xf numFmtId="0" fontId="4" fillId="0" borderId="2" xfId="0" applyFont="1" applyBorder="1" applyAlignment="1">
      <alignment horizontal="center"/>
    </xf>
    <xf numFmtId="0" fontId="8" fillId="0" borderId="0" xfId="0" applyFont="1" applyAlignment="1">
      <alignment wrapText="1"/>
    </xf>
    <xf numFmtId="0" fontId="6" fillId="0" borderId="2" xfId="0" applyFont="1" applyBorder="1" applyAlignment="1">
      <alignment vertical="center" wrapText="1"/>
    </xf>
    <xf numFmtId="0" fontId="7" fillId="3" borderId="2" xfId="0" applyFont="1" applyFill="1" applyBorder="1"/>
    <xf numFmtId="0" fontId="4" fillId="4" borderId="1" xfId="0" applyFont="1" applyFill="1" applyBorder="1"/>
    <xf numFmtId="0" fontId="16" fillId="0" borderId="0" xfId="0" applyFont="1" applyAlignment="1">
      <alignment wrapText="1"/>
    </xf>
    <xf numFmtId="0" fontId="3" fillId="3" borderId="2" xfId="0" applyFont="1" applyFill="1" applyBorder="1" applyAlignment="1">
      <alignment vertical="center" wrapText="1"/>
    </xf>
    <xf numFmtId="0" fontId="7" fillId="3" borderId="1" xfId="0" applyFont="1" applyFill="1" applyBorder="1"/>
    <xf numFmtId="0" fontId="15" fillId="4" borderId="1" xfId="0" applyFont="1" applyFill="1" applyBorder="1"/>
    <xf numFmtId="0" fontId="0" fillId="0" borderId="2" xfId="0" applyBorder="1" applyAlignment="1">
      <alignment horizontal="center"/>
    </xf>
  </cellXfs>
  <cellStyles count="1">
    <cellStyle name="Normal" xfId="0" builtinId="0"/>
  </cellStyles>
  <dxfs count="22">
    <dxf>
      <fill>
        <patternFill>
          <bgColor rgb="FF63BE7B"/>
        </patternFill>
      </fill>
    </dxf>
    <dxf>
      <fill>
        <patternFill>
          <bgColor rgb="FFFFEB84"/>
        </patternFill>
      </fill>
    </dxf>
    <dxf>
      <fill>
        <patternFill>
          <bgColor rgb="FFF8696B"/>
        </patternFill>
      </fill>
    </dxf>
    <dxf>
      <fill>
        <patternFill>
          <bgColor rgb="FFF8696B"/>
        </patternFill>
      </fill>
    </dxf>
    <dxf>
      <fill>
        <patternFill>
          <bgColor rgb="FFFFEB84"/>
        </patternFill>
      </fill>
    </dxf>
    <dxf>
      <fill>
        <patternFill>
          <bgColor rgb="FF63BE7B"/>
        </patternFill>
      </fill>
    </dxf>
    <dxf>
      <fill>
        <patternFill>
          <bgColor rgb="FF9DC3E6"/>
        </patternFill>
      </fill>
    </dxf>
    <dxf>
      <fill>
        <patternFill>
          <bgColor rgb="FFF8696B"/>
        </patternFill>
      </fill>
    </dxf>
    <dxf>
      <fill>
        <patternFill>
          <bgColor rgb="FFFFEB84"/>
        </patternFill>
      </fill>
    </dxf>
    <dxf>
      <fill>
        <patternFill>
          <bgColor rgb="FF63BE7B"/>
        </patternFill>
      </fill>
    </dxf>
    <dxf>
      <fill>
        <patternFill>
          <bgColor rgb="FF9DC3E6"/>
        </patternFill>
      </fill>
    </dxf>
    <dxf>
      <fill>
        <patternFill>
          <bgColor rgb="FF63BE7B"/>
        </patternFill>
      </fill>
    </dxf>
    <dxf>
      <fill>
        <patternFill>
          <bgColor rgb="FFFFEB84"/>
        </patternFill>
      </fill>
    </dxf>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C6E0B4"/>
        </patternFill>
      </fill>
    </dxf>
    <dxf>
      <fill>
        <patternFill>
          <bgColor rgb="FFF4B183"/>
        </patternFill>
      </fill>
    </dxf>
    <dxf>
      <fill>
        <patternFill>
          <bgColor rgb="FF63BE7B"/>
        </patternFill>
      </fill>
    </dxf>
    <dxf>
      <fill>
        <patternFill>
          <bgColor rgb="FFFFEB84"/>
        </patternFill>
      </fill>
    </dxf>
    <dxf>
      <fill>
        <patternFill>
          <bgColor rgb="FFF8696B"/>
        </patternFill>
      </fill>
    </dxf>
  </dxfs>
  <tableStyles count="0" defaultTableStyle="TableStyleMedium2" defaultPivotStyle="PivotStyleLight16"/>
  <colors>
    <indexedColors>
      <rgbColor rgb="FF000000"/>
      <rgbColor rgb="FFF9F9F9"/>
      <rgbColor rgb="FFC00000"/>
      <rgbColor rgb="FF00FF00"/>
      <rgbColor rgb="FF0000FF"/>
      <rgbColor rgb="FFFFF2CC"/>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0B4"/>
      <rgbColor rgb="FFFFEB84"/>
      <rgbColor rgb="FF9DC3E6"/>
      <rgbColor rgb="FFFF99CC"/>
      <rgbColor rgb="FFCC99FF"/>
      <rgbColor rgb="FFF4B183"/>
      <rgbColor rgb="FF3366FF"/>
      <rgbColor rgb="FF63BE7B"/>
      <rgbColor rgb="FF99CC00"/>
      <rgbColor rgb="FFFFC000"/>
      <rgbColor rgb="FFFF9900"/>
      <rgbColor rgb="FFF8696B"/>
      <rgbColor rgb="FF666699"/>
      <rgbColor rgb="FF878787"/>
      <rgbColor rgb="FF003366"/>
      <rgbColor rgb="FF70AD47"/>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Matriz FODA: peso de los cruces</a:t>
            </a:r>
          </a:p>
        </c:rich>
      </c:tx>
      <c:overlay val="0"/>
      <c:spPr>
        <a:noFill/>
        <a:ln w="0">
          <a:noFill/>
        </a:ln>
      </c:spPr>
    </c:title>
    <c:autoTitleDeleted val="0"/>
    <c:plotArea>
      <c:layout/>
      <c:bubbleChart>
        <c:varyColors val="0"/>
        <c:ser>
          <c:idx val="0"/>
          <c:order val="0"/>
          <c:tx>
            <c:v>FO - Ofensiva</c:v>
          </c:tx>
          <c:spPr>
            <a:solidFill>
              <a:srgbClr val="9999F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ES"/>
              </a:p>
            </c:txPr>
            <c:dLblPos val="r"/>
            <c:showLegendKey val="0"/>
            <c:showVal val="0"/>
            <c:showCatName val="0"/>
            <c:showSerName val="1"/>
            <c:showPercent val="0"/>
            <c:showBubbleSize val="1"/>
            <c:separator>; </c:separator>
            <c:showLeaderLines val="0"/>
            <c:extLst>
              <c:ext xmlns:c15="http://schemas.microsoft.com/office/drawing/2012/chart" uri="{CE6537A1-D6FC-4f65-9D91-7224C49458BB}">
                <c15:showLeaderLines val="1"/>
              </c:ext>
            </c:extLst>
          </c:dLbls>
          <c:xVal>
            <c:numRef>
              <c:f>'MATRIZ FODA'!$C$24</c:f>
              <c:numCache>
                <c:formatCode>General</c:formatCode>
                <c:ptCount val="1"/>
                <c:pt idx="0">
                  <c:v>4</c:v>
                </c:pt>
              </c:numCache>
            </c:numRef>
          </c:xVal>
          <c:yVal>
            <c:numRef>
              <c:f>'MATRIZ FODA'!$D$24</c:f>
              <c:numCache>
                <c:formatCode>General</c:formatCode>
                <c:ptCount val="1"/>
                <c:pt idx="0">
                  <c:v>6</c:v>
                </c:pt>
              </c:numCache>
            </c:numRef>
          </c:yVal>
          <c:bubbleSize>
            <c:numRef>
              <c:f>'MATRIZ FODA'!$E$24</c:f>
              <c:numCache>
                <c:formatCode>0%</c:formatCode>
                <c:ptCount val="1"/>
                <c:pt idx="0">
                  <c:v>0.16666666666666666</c:v>
                </c:pt>
              </c:numCache>
            </c:numRef>
          </c:bubbleSize>
          <c:bubble3D val="0"/>
          <c:extLst>
            <c:ext xmlns:c16="http://schemas.microsoft.com/office/drawing/2014/chart" uri="{C3380CC4-5D6E-409C-BE32-E72D297353CC}">
              <c16:uniqueId val="{00000000-0577-4507-8D96-CF214ED803FB}"/>
            </c:ext>
          </c:extLst>
        </c:ser>
        <c:ser>
          <c:idx val="1"/>
          <c:order val="1"/>
          <c:tx>
            <c:v>FA - Defensiva</c:v>
          </c:tx>
          <c:spPr>
            <a:solidFill>
              <a:srgbClr val="993366"/>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ES"/>
              </a:p>
            </c:txPr>
            <c:dLblPos val="r"/>
            <c:showLegendKey val="0"/>
            <c:showVal val="0"/>
            <c:showCatName val="0"/>
            <c:showSerName val="1"/>
            <c:showPercent val="0"/>
            <c:showBubbleSize val="1"/>
            <c:separator>; </c:separator>
            <c:showLeaderLines val="0"/>
            <c:extLst>
              <c:ext xmlns:c15="http://schemas.microsoft.com/office/drawing/2012/chart" uri="{CE6537A1-D6FC-4f65-9D91-7224C49458BB}">
                <c15:showLeaderLines val="1"/>
              </c:ext>
            </c:extLst>
          </c:dLbls>
          <c:xVal>
            <c:numRef>
              <c:f>'MATRIZ FODA'!$C$25</c:f>
              <c:numCache>
                <c:formatCode>General</c:formatCode>
                <c:ptCount val="1"/>
                <c:pt idx="0">
                  <c:v>8</c:v>
                </c:pt>
              </c:numCache>
            </c:numRef>
          </c:xVal>
          <c:yVal>
            <c:numRef>
              <c:f>'MATRIZ FODA'!$D$25</c:f>
              <c:numCache>
                <c:formatCode>General</c:formatCode>
                <c:ptCount val="1"/>
                <c:pt idx="0">
                  <c:v>6</c:v>
                </c:pt>
              </c:numCache>
            </c:numRef>
          </c:yVal>
          <c:bubbleSize>
            <c:numRef>
              <c:f>'MATRIZ FODA'!$E$25</c:f>
              <c:numCache>
                <c:formatCode>0%</c:formatCode>
                <c:ptCount val="1"/>
                <c:pt idx="0">
                  <c:v>0.33333333333333331</c:v>
                </c:pt>
              </c:numCache>
            </c:numRef>
          </c:bubbleSize>
          <c:bubble3D val="0"/>
          <c:extLst>
            <c:ext xmlns:c16="http://schemas.microsoft.com/office/drawing/2014/chart" uri="{C3380CC4-5D6E-409C-BE32-E72D297353CC}">
              <c16:uniqueId val="{00000001-0577-4507-8D96-CF214ED803FB}"/>
            </c:ext>
          </c:extLst>
        </c:ser>
        <c:ser>
          <c:idx val="2"/>
          <c:order val="2"/>
          <c:tx>
            <c:v>DO - Reorientación</c:v>
          </c:tx>
          <c:spPr>
            <a:solidFill>
              <a:srgbClr val="FFFFCC"/>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ES"/>
              </a:p>
            </c:txPr>
            <c:dLblPos val="r"/>
            <c:showLegendKey val="0"/>
            <c:showVal val="0"/>
            <c:showCatName val="0"/>
            <c:showSerName val="1"/>
            <c:showPercent val="0"/>
            <c:showBubbleSize val="1"/>
            <c:separator>; </c:separator>
            <c:showLeaderLines val="0"/>
            <c:extLst>
              <c:ext xmlns:c15="http://schemas.microsoft.com/office/drawing/2012/chart" uri="{CE6537A1-D6FC-4f65-9D91-7224C49458BB}">
                <c15:showLeaderLines val="1"/>
              </c:ext>
            </c:extLst>
          </c:dLbls>
          <c:xVal>
            <c:numRef>
              <c:f>'MATRIZ FODA'!$C$26</c:f>
              <c:numCache>
                <c:formatCode>General</c:formatCode>
                <c:ptCount val="1"/>
                <c:pt idx="0">
                  <c:v>4</c:v>
                </c:pt>
              </c:numCache>
            </c:numRef>
          </c:xVal>
          <c:yVal>
            <c:numRef>
              <c:f>'MATRIZ FODA'!$D$26</c:f>
              <c:numCache>
                <c:formatCode>General</c:formatCode>
                <c:ptCount val="1"/>
                <c:pt idx="0">
                  <c:v>2</c:v>
                </c:pt>
              </c:numCache>
            </c:numRef>
          </c:yVal>
          <c:bubbleSize>
            <c:numRef>
              <c:f>'MATRIZ FODA'!$E$26</c:f>
              <c:numCache>
                <c:formatCode>0%</c:formatCode>
                <c:ptCount val="1"/>
                <c:pt idx="0">
                  <c:v>0.14285714285714285</c:v>
                </c:pt>
              </c:numCache>
            </c:numRef>
          </c:bubbleSize>
          <c:bubble3D val="0"/>
          <c:extLst>
            <c:ext xmlns:c16="http://schemas.microsoft.com/office/drawing/2014/chart" uri="{C3380CC4-5D6E-409C-BE32-E72D297353CC}">
              <c16:uniqueId val="{00000002-0577-4507-8D96-CF214ED803FB}"/>
            </c:ext>
          </c:extLst>
        </c:ser>
        <c:ser>
          <c:idx val="3"/>
          <c:order val="3"/>
          <c:tx>
            <c:v>DA - Supervivencia</c:v>
          </c:tx>
          <c:spPr>
            <a:solidFill>
              <a:srgbClr val="CCFFF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Calibri"/>
                  </a:defRPr>
                </a:pPr>
                <a:endParaRPr lang="es-ES"/>
              </a:p>
            </c:txPr>
            <c:dLblPos val="r"/>
            <c:showLegendKey val="0"/>
            <c:showVal val="0"/>
            <c:showCatName val="0"/>
            <c:showSerName val="1"/>
            <c:showPercent val="0"/>
            <c:showBubbleSize val="1"/>
            <c:separator>; </c:separator>
            <c:showLeaderLines val="0"/>
            <c:extLst>
              <c:ext xmlns:c15="http://schemas.microsoft.com/office/drawing/2012/chart" uri="{CE6537A1-D6FC-4f65-9D91-7224C49458BB}">
                <c15:showLeaderLines val="1"/>
              </c:ext>
            </c:extLst>
          </c:dLbls>
          <c:xVal>
            <c:numRef>
              <c:f>'MATRIZ FODA'!$C$27</c:f>
              <c:numCache>
                <c:formatCode>General</c:formatCode>
                <c:ptCount val="1"/>
                <c:pt idx="0">
                  <c:v>8</c:v>
                </c:pt>
              </c:numCache>
            </c:numRef>
          </c:xVal>
          <c:yVal>
            <c:numRef>
              <c:f>'MATRIZ FODA'!$D$27</c:f>
              <c:numCache>
                <c:formatCode>General</c:formatCode>
                <c:ptCount val="1"/>
                <c:pt idx="0">
                  <c:v>2</c:v>
                </c:pt>
              </c:numCache>
            </c:numRef>
          </c:yVal>
          <c:bubbleSize>
            <c:numRef>
              <c:f>'MATRIZ FODA'!$E$27</c:f>
              <c:numCache>
                <c:formatCode>0%</c:formatCode>
                <c:ptCount val="1"/>
                <c:pt idx="0">
                  <c:v>0.35714285714285715</c:v>
                </c:pt>
              </c:numCache>
            </c:numRef>
          </c:bubbleSize>
          <c:bubble3D val="0"/>
          <c:extLst>
            <c:ext xmlns:c16="http://schemas.microsoft.com/office/drawing/2014/chart" uri="{C3380CC4-5D6E-409C-BE32-E72D297353CC}">
              <c16:uniqueId val="{00000003-0577-4507-8D96-CF214ED803FB}"/>
            </c:ext>
          </c:extLst>
        </c:ser>
        <c:dLbls>
          <c:showLegendKey val="0"/>
          <c:showVal val="0"/>
          <c:showCatName val="0"/>
          <c:showSerName val="0"/>
          <c:showPercent val="0"/>
          <c:showBubbleSize val="0"/>
        </c:dLbls>
        <c:bubbleScale val="100"/>
        <c:showNegBubbles val="1"/>
        <c:axId val="16446103"/>
        <c:axId val="62461836"/>
      </c:bubbleChart>
      <c:valAx>
        <c:axId val="16446103"/>
        <c:scaling>
          <c:orientation val="minMax"/>
          <c:max val="10"/>
          <c:min val="2"/>
        </c:scaling>
        <c:delete val="1"/>
        <c:axPos val="b"/>
        <c:majorGridlines>
          <c:spPr>
            <a:ln w="9360">
              <a:solidFill>
                <a:srgbClr val="878787"/>
              </a:solidFill>
              <a:round/>
            </a:ln>
          </c:spPr>
        </c:majorGridlines>
        <c:numFmt formatCode="General" sourceLinked="1"/>
        <c:majorTickMark val="none"/>
        <c:minorTickMark val="none"/>
        <c:tickLblPos val="nextTo"/>
        <c:crossAx val="62461836"/>
        <c:crosses val="autoZero"/>
        <c:crossBetween val="midCat"/>
      </c:valAx>
      <c:valAx>
        <c:axId val="62461836"/>
        <c:scaling>
          <c:orientation val="minMax"/>
          <c:max val="8"/>
          <c:min val="0"/>
        </c:scaling>
        <c:delete val="1"/>
        <c:axPos val="l"/>
        <c:majorGridlines>
          <c:spPr>
            <a:ln w="9360">
              <a:solidFill>
                <a:srgbClr val="878787"/>
              </a:solidFill>
              <a:round/>
            </a:ln>
          </c:spPr>
        </c:majorGridlines>
        <c:numFmt formatCode="General" sourceLinked="1"/>
        <c:majorTickMark val="none"/>
        <c:minorTickMark val="none"/>
        <c:tickLblPos val="nextTo"/>
        <c:crossAx val="16446103"/>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Evolución interna</a:t>
            </a:r>
          </a:p>
        </c:rich>
      </c:tx>
      <c:overlay val="0"/>
      <c:spPr>
        <a:noFill/>
        <a:ln w="0">
          <a:noFill/>
        </a:ln>
      </c:spPr>
    </c:title>
    <c:autoTitleDeleted val="0"/>
    <c:plotArea>
      <c:layout/>
      <c:barChart>
        <c:barDir val="bar"/>
        <c:grouping val="clustered"/>
        <c:varyColors val="0"/>
        <c:ser>
          <c:idx val="0"/>
          <c:order val="0"/>
          <c:tx>
            <c:strRef>
              <c:f>ResumenFODA!$C$2</c:f>
              <c:strCache>
                <c:ptCount val="1"/>
                <c:pt idx="0">
                  <c:v>Situación Ideal</c:v>
                </c:pt>
              </c:strCache>
            </c:strRef>
          </c:tx>
          <c:spPr>
            <a:solidFill>
              <a:srgbClr val="9999FF"/>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ResumenFODA!$B$5:$B$14</c:f>
              <c:strCache>
                <c:ptCount val="10"/>
                <c:pt idx="0">
                  <c:v>Segmentos de Clientes</c:v>
                </c:pt>
                <c:pt idx="1">
                  <c:v>Propuesta de Valor</c:v>
                </c:pt>
                <c:pt idx="2">
                  <c:v>Canales</c:v>
                </c:pt>
                <c:pt idx="3">
                  <c:v>Relación con Clientes</c:v>
                </c:pt>
                <c:pt idx="4">
                  <c:v>Fuentes de Ingresos</c:v>
                </c:pt>
                <c:pt idx="5">
                  <c:v>Recursos Clave</c:v>
                </c:pt>
                <c:pt idx="6">
                  <c:v>Actividades Clave</c:v>
                </c:pt>
                <c:pt idx="7">
                  <c:v>Socios Clave</c:v>
                </c:pt>
                <c:pt idx="8">
                  <c:v>Estructura de Costos</c:v>
                </c:pt>
                <c:pt idx="9">
                  <c:v>Gestión y Compromiso Exportador</c:v>
                </c:pt>
              </c:strCache>
            </c:strRef>
          </c:cat>
          <c:val>
            <c:numRef>
              <c:f>ResumenFODA!$C$5:$C$14</c:f>
              <c:numCache>
                <c:formatCode>0%</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DC97-42FD-81AF-948E0E483449}"/>
            </c:ext>
          </c:extLst>
        </c:ser>
        <c:ser>
          <c:idx val="1"/>
          <c:order val="1"/>
          <c:tx>
            <c:strRef>
              <c:f>ResumenFODA!$E$2</c:f>
              <c:strCache>
                <c:ptCount val="1"/>
                <c:pt idx="0">
                  <c:v>Situación Actual</c:v>
                </c:pt>
              </c:strCache>
            </c:strRef>
          </c:tx>
          <c:spPr>
            <a:solidFill>
              <a:srgbClr val="99CC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ResumenFODA!$B$5:$B$14</c:f>
              <c:strCache>
                <c:ptCount val="10"/>
                <c:pt idx="0">
                  <c:v>Segmentos de Clientes</c:v>
                </c:pt>
                <c:pt idx="1">
                  <c:v>Propuesta de Valor</c:v>
                </c:pt>
                <c:pt idx="2">
                  <c:v>Canales</c:v>
                </c:pt>
                <c:pt idx="3">
                  <c:v>Relación con Clientes</c:v>
                </c:pt>
                <c:pt idx="4">
                  <c:v>Fuentes de Ingresos</c:v>
                </c:pt>
                <c:pt idx="5">
                  <c:v>Recursos Clave</c:v>
                </c:pt>
                <c:pt idx="6">
                  <c:v>Actividades Clave</c:v>
                </c:pt>
                <c:pt idx="7">
                  <c:v>Socios Clave</c:v>
                </c:pt>
                <c:pt idx="8">
                  <c:v>Estructura de Costos</c:v>
                </c:pt>
                <c:pt idx="9">
                  <c:v>Gestión y Compromiso Exportador</c:v>
                </c:pt>
              </c:strCache>
            </c:strRef>
          </c:cat>
          <c:val>
            <c:numRef>
              <c:f>ResumenFODA!$E$5:$E$14</c:f>
              <c:numCache>
                <c:formatCode>0%</c:formatCode>
                <c:ptCount val="10"/>
                <c:pt idx="0">
                  <c:v>8.8235294117647051E-2</c:v>
                </c:pt>
                <c:pt idx="1">
                  <c:v>2.1739130434782622E-2</c:v>
                </c:pt>
                <c:pt idx="2">
                  <c:v>-0.66666666666666663</c:v>
                </c:pt>
                <c:pt idx="3">
                  <c:v>-0.35294117647058826</c:v>
                </c:pt>
                <c:pt idx="4">
                  <c:v>0.35294117647058826</c:v>
                </c:pt>
                <c:pt idx="5">
                  <c:v>7.6923076923076927E-2</c:v>
                </c:pt>
                <c:pt idx="6">
                  <c:v>-0.29629629629629628</c:v>
                </c:pt>
                <c:pt idx="7">
                  <c:v>-4.7619047619047616E-2</c:v>
                </c:pt>
                <c:pt idx="8">
                  <c:v>0.17499999999999999</c:v>
                </c:pt>
                <c:pt idx="9">
                  <c:v>-0.54347826086956519</c:v>
                </c:pt>
              </c:numCache>
            </c:numRef>
          </c:val>
          <c:extLst>
            <c:ext xmlns:c16="http://schemas.microsoft.com/office/drawing/2014/chart" uri="{C3380CC4-5D6E-409C-BE32-E72D297353CC}">
              <c16:uniqueId val="{00000001-DC97-42FD-81AF-948E0E483449}"/>
            </c:ext>
          </c:extLst>
        </c:ser>
        <c:ser>
          <c:idx val="2"/>
          <c:order val="2"/>
          <c:tx>
            <c:strRef>
              <c:f>ResumenFODA!$D$2</c:f>
              <c:strCache>
                <c:ptCount val="1"/>
                <c:pt idx="0">
                  <c:v>Situación Peor</c:v>
                </c:pt>
              </c:strCache>
            </c:strRef>
          </c:tx>
          <c:spPr>
            <a:solidFill>
              <a:srgbClr val="FF808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ResumenFODA!$B$5:$B$14</c:f>
              <c:strCache>
                <c:ptCount val="10"/>
                <c:pt idx="0">
                  <c:v>Segmentos de Clientes</c:v>
                </c:pt>
                <c:pt idx="1">
                  <c:v>Propuesta de Valor</c:v>
                </c:pt>
                <c:pt idx="2">
                  <c:v>Canales</c:v>
                </c:pt>
                <c:pt idx="3">
                  <c:v>Relación con Clientes</c:v>
                </c:pt>
                <c:pt idx="4">
                  <c:v>Fuentes de Ingresos</c:v>
                </c:pt>
                <c:pt idx="5">
                  <c:v>Recursos Clave</c:v>
                </c:pt>
                <c:pt idx="6">
                  <c:v>Actividades Clave</c:v>
                </c:pt>
                <c:pt idx="7">
                  <c:v>Socios Clave</c:v>
                </c:pt>
                <c:pt idx="8">
                  <c:v>Estructura de Costos</c:v>
                </c:pt>
                <c:pt idx="9">
                  <c:v>Gestión y Compromiso Exportador</c:v>
                </c:pt>
              </c:strCache>
            </c:strRef>
          </c:cat>
          <c:val>
            <c:numRef>
              <c:f>ResumenFODA!$D$5:$D$14</c:f>
              <c:numCache>
                <c:formatCode>0%</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2-DC97-42FD-81AF-948E0E483449}"/>
            </c:ext>
          </c:extLst>
        </c:ser>
        <c:dLbls>
          <c:showLegendKey val="0"/>
          <c:showVal val="0"/>
          <c:showCatName val="0"/>
          <c:showSerName val="0"/>
          <c:showPercent val="0"/>
          <c:showBubbleSize val="0"/>
        </c:dLbls>
        <c:gapWidth val="150"/>
        <c:axId val="79478257"/>
        <c:axId val="94460020"/>
      </c:barChart>
      <c:catAx>
        <c:axId val="79478257"/>
        <c:scaling>
          <c:orientation val="maxMin"/>
        </c:scaling>
        <c:delete val="0"/>
        <c:axPos val="l"/>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ES"/>
          </a:p>
        </c:txPr>
        <c:crossAx val="94460020"/>
        <c:crosses val="autoZero"/>
        <c:auto val="1"/>
        <c:lblAlgn val="ctr"/>
        <c:lblOffset val="100"/>
        <c:noMultiLvlLbl val="0"/>
      </c:catAx>
      <c:valAx>
        <c:axId val="94460020"/>
        <c:scaling>
          <c:orientation val="minMax"/>
          <c:max val="1"/>
          <c:min val="-1"/>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7947825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ES" sz="1800" b="1" strike="noStrike" spc="-1">
                <a:solidFill>
                  <a:srgbClr val="000000"/>
                </a:solidFill>
                <a:latin typeface="Calibri"/>
              </a:rPr>
              <a:t>Evolución externa</a:t>
            </a:r>
          </a:p>
        </c:rich>
      </c:tx>
      <c:overlay val="0"/>
      <c:spPr>
        <a:noFill/>
        <a:ln w="0">
          <a:noFill/>
        </a:ln>
      </c:spPr>
    </c:title>
    <c:autoTitleDeleted val="0"/>
    <c:plotArea>
      <c:layout/>
      <c:barChart>
        <c:barDir val="bar"/>
        <c:grouping val="clustered"/>
        <c:varyColors val="0"/>
        <c:ser>
          <c:idx val="0"/>
          <c:order val="0"/>
          <c:tx>
            <c:strRef>
              <c:f>ResumenFODA!$C$2</c:f>
              <c:strCache>
                <c:ptCount val="1"/>
                <c:pt idx="0">
                  <c:v>Situación Ideal</c:v>
                </c:pt>
              </c:strCache>
            </c:strRef>
          </c:tx>
          <c:spPr>
            <a:solidFill>
              <a:srgbClr val="9999FF"/>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ResumenFODA!$B$18:$B$26</c:f>
              <c:strCache>
                <c:ptCount val="9"/>
                <c:pt idx="0">
                  <c:v>Ámbito Político/Legal y Regulatorio</c:v>
                </c:pt>
                <c:pt idx="1">
                  <c:v>Ámbito Económico/Financiero/Cambiario</c:v>
                </c:pt>
                <c:pt idx="2">
                  <c:v>Ámbito Sociocultural</c:v>
                </c:pt>
                <c:pt idx="3">
                  <c:v>Ámbito Tecnológico y Digital</c:v>
                </c:pt>
                <c:pt idx="4">
                  <c:v>Logística e Infraestructura Regional</c:v>
                </c:pt>
                <c:pt idx="5">
                  <c:v>Mercado y Competencia</c:v>
                </c:pt>
                <c:pt idx="6">
                  <c:v>Proveedores</c:v>
                </c:pt>
                <c:pt idx="7">
                  <c:v>Sustitutos de los Productos Ofrecidos</c:v>
                </c:pt>
                <c:pt idx="8">
                  <c:v>Ámbito Ambiental, Sanitario y Climático</c:v>
                </c:pt>
              </c:strCache>
            </c:strRef>
          </c:cat>
          <c:val>
            <c:numRef>
              <c:f>ResumenFODA!$C$18:$C$26</c:f>
              <c:numCache>
                <c:formatCode>0%</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0-3B34-475F-978D-A811CA5F3E29}"/>
            </c:ext>
          </c:extLst>
        </c:ser>
        <c:ser>
          <c:idx val="1"/>
          <c:order val="1"/>
          <c:tx>
            <c:strRef>
              <c:f>ResumenFODA!$E$2</c:f>
              <c:strCache>
                <c:ptCount val="1"/>
                <c:pt idx="0">
                  <c:v>Situación Actual</c:v>
                </c:pt>
              </c:strCache>
            </c:strRef>
          </c:tx>
          <c:spPr>
            <a:solidFill>
              <a:srgbClr val="99CC0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ResumenFODA!$B$18:$B$26</c:f>
              <c:strCache>
                <c:ptCount val="9"/>
                <c:pt idx="0">
                  <c:v>Ámbito Político/Legal y Regulatorio</c:v>
                </c:pt>
                <c:pt idx="1">
                  <c:v>Ámbito Económico/Financiero/Cambiario</c:v>
                </c:pt>
                <c:pt idx="2">
                  <c:v>Ámbito Sociocultural</c:v>
                </c:pt>
                <c:pt idx="3">
                  <c:v>Ámbito Tecnológico y Digital</c:v>
                </c:pt>
                <c:pt idx="4">
                  <c:v>Logística e Infraestructura Regional</c:v>
                </c:pt>
                <c:pt idx="5">
                  <c:v>Mercado y Competencia</c:v>
                </c:pt>
                <c:pt idx="6">
                  <c:v>Proveedores</c:v>
                </c:pt>
                <c:pt idx="7">
                  <c:v>Sustitutos de los Productos Ofrecidos</c:v>
                </c:pt>
                <c:pt idx="8">
                  <c:v>Ámbito Ambiental, Sanitario y Climático</c:v>
                </c:pt>
              </c:strCache>
            </c:strRef>
          </c:cat>
          <c:val>
            <c:numRef>
              <c:f>ResumenFODA!$E$18:$E$26</c:f>
              <c:numCache>
                <c:formatCode>0%</c:formatCode>
                <c:ptCount val="9"/>
                <c:pt idx="0">
                  <c:v>-0.16666666666666663</c:v>
                </c:pt>
                <c:pt idx="1">
                  <c:v>-0.31818181818181818</c:v>
                </c:pt>
                <c:pt idx="2">
                  <c:v>0.46153846153846156</c:v>
                </c:pt>
                <c:pt idx="3">
                  <c:v>-0.63636363636363635</c:v>
                </c:pt>
                <c:pt idx="4">
                  <c:v>-0.45454545454545447</c:v>
                </c:pt>
                <c:pt idx="5">
                  <c:v>-0.14705882352941174</c:v>
                </c:pt>
                <c:pt idx="6">
                  <c:v>0</c:v>
                </c:pt>
                <c:pt idx="7">
                  <c:v>-0.14285714285714285</c:v>
                </c:pt>
                <c:pt idx="8">
                  <c:v>-0.24999999999999997</c:v>
                </c:pt>
              </c:numCache>
            </c:numRef>
          </c:val>
          <c:extLst>
            <c:ext xmlns:c16="http://schemas.microsoft.com/office/drawing/2014/chart" uri="{C3380CC4-5D6E-409C-BE32-E72D297353CC}">
              <c16:uniqueId val="{00000001-3B34-475F-978D-A811CA5F3E29}"/>
            </c:ext>
          </c:extLst>
        </c:ser>
        <c:ser>
          <c:idx val="2"/>
          <c:order val="2"/>
          <c:tx>
            <c:strRef>
              <c:f>ResumenFODA!$D$2</c:f>
              <c:strCache>
                <c:ptCount val="1"/>
                <c:pt idx="0">
                  <c:v>Situación Peor</c:v>
                </c:pt>
              </c:strCache>
            </c:strRef>
          </c:tx>
          <c:spPr>
            <a:solidFill>
              <a:srgbClr val="FF8080"/>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s-E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ResumenFODA!$B$18:$B$26</c:f>
              <c:strCache>
                <c:ptCount val="9"/>
                <c:pt idx="0">
                  <c:v>Ámbito Político/Legal y Regulatorio</c:v>
                </c:pt>
                <c:pt idx="1">
                  <c:v>Ámbito Económico/Financiero/Cambiario</c:v>
                </c:pt>
                <c:pt idx="2">
                  <c:v>Ámbito Sociocultural</c:v>
                </c:pt>
                <c:pt idx="3">
                  <c:v>Ámbito Tecnológico y Digital</c:v>
                </c:pt>
                <c:pt idx="4">
                  <c:v>Logística e Infraestructura Regional</c:v>
                </c:pt>
                <c:pt idx="5">
                  <c:v>Mercado y Competencia</c:v>
                </c:pt>
                <c:pt idx="6">
                  <c:v>Proveedores</c:v>
                </c:pt>
                <c:pt idx="7">
                  <c:v>Sustitutos de los Productos Ofrecidos</c:v>
                </c:pt>
                <c:pt idx="8">
                  <c:v>Ámbito Ambiental, Sanitario y Climático</c:v>
                </c:pt>
              </c:strCache>
            </c:strRef>
          </c:cat>
          <c:val>
            <c:numRef>
              <c:f>ResumenFODA!$D$18:$D$26</c:f>
              <c:numCache>
                <c:formatCode>0%</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2-3B34-475F-978D-A811CA5F3E29}"/>
            </c:ext>
          </c:extLst>
        </c:ser>
        <c:dLbls>
          <c:showLegendKey val="0"/>
          <c:showVal val="0"/>
          <c:showCatName val="0"/>
          <c:showSerName val="0"/>
          <c:showPercent val="0"/>
          <c:showBubbleSize val="0"/>
        </c:dLbls>
        <c:gapWidth val="150"/>
        <c:axId val="39024212"/>
        <c:axId val="28934069"/>
      </c:barChart>
      <c:catAx>
        <c:axId val="39024212"/>
        <c:scaling>
          <c:orientation val="maxMin"/>
        </c:scaling>
        <c:delete val="0"/>
        <c:axPos val="l"/>
        <c:numFmt formatCode="General" sourceLinked="1"/>
        <c:majorTickMark val="none"/>
        <c:minorTickMark val="none"/>
        <c:tickLblPos val="low"/>
        <c:spPr>
          <a:ln w="9360">
            <a:solidFill>
              <a:srgbClr val="878787"/>
            </a:solidFill>
            <a:round/>
          </a:ln>
        </c:spPr>
        <c:txPr>
          <a:bodyPr/>
          <a:lstStyle/>
          <a:p>
            <a:pPr>
              <a:defRPr sz="1000" b="0" strike="noStrike" spc="-1">
                <a:solidFill>
                  <a:srgbClr val="000000"/>
                </a:solidFill>
                <a:latin typeface="Calibri"/>
              </a:defRPr>
            </a:pPr>
            <a:endParaRPr lang="es-ES"/>
          </a:p>
        </c:txPr>
        <c:crossAx val="28934069"/>
        <c:crosses val="autoZero"/>
        <c:auto val="1"/>
        <c:lblAlgn val="ctr"/>
        <c:lblOffset val="100"/>
        <c:noMultiLvlLbl val="0"/>
      </c:catAx>
      <c:valAx>
        <c:axId val="28934069"/>
        <c:scaling>
          <c:orientation val="minMax"/>
          <c:max val="1"/>
          <c:min val="-1"/>
        </c:scaling>
        <c:delete val="0"/>
        <c:axPos val="t"/>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ES"/>
          </a:p>
        </c:txPr>
        <c:crossAx val="3902421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E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18</xdr:col>
      <xdr:colOff>4680</xdr:colOff>
      <xdr:row>18</xdr:row>
      <xdr:rowOff>18000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5</xdr:col>
      <xdr:colOff>86760</xdr:colOff>
      <xdr:row>54</xdr:row>
      <xdr:rowOff>107640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30</xdr:row>
      <xdr:rowOff>0</xdr:rowOff>
    </xdr:from>
    <xdr:to>
      <xdr:col>20</xdr:col>
      <xdr:colOff>4680</xdr:colOff>
      <xdr:row>54</xdr:row>
      <xdr:rowOff>107640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pageSetUpPr fitToPage="1"/>
  </sheetPr>
  <dimension ref="B1:K64"/>
  <sheetViews>
    <sheetView showGridLines="0" tabSelected="1" zoomScaleNormal="100" workbookViewId="0">
      <selection activeCell="B7" sqref="B7"/>
    </sheetView>
  </sheetViews>
  <sheetFormatPr baseColWidth="10" defaultColWidth="8.7109375" defaultRowHeight="15" x14ac:dyDescent="0.25"/>
  <cols>
    <col min="1" max="1" width="2" customWidth="1"/>
    <col min="2" max="2" width="42" customWidth="1"/>
    <col min="3" max="11" width="11" customWidth="1"/>
  </cols>
  <sheetData>
    <row r="1" spans="2:11" ht="20.25" x14ac:dyDescent="0.3">
      <c r="B1" s="5" t="s">
        <v>0</v>
      </c>
    </row>
    <row r="2" spans="2:11" x14ac:dyDescent="0.25">
      <c r="B2" s="6" t="s">
        <v>1</v>
      </c>
    </row>
    <row r="3" spans="2:11" x14ac:dyDescent="0.25">
      <c r="B3" s="69" t="s">
        <v>864</v>
      </c>
    </row>
    <row r="4" spans="2:11" x14ac:dyDescent="0.25">
      <c r="B4" s="7" t="s">
        <v>2</v>
      </c>
      <c r="C4" s="8"/>
      <c r="D4" s="8"/>
      <c r="E4" s="8"/>
      <c r="F4" s="8"/>
      <c r="G4" s="8"/>
      <c r="H4" s="8"/>
      <c r="I4" s="8"/>
      <c r="J4" s="8"/>
      <c r="K4" s="8"/>
    </row>
    <row r="5" spans="2:11" ht="27" customHeight="1" x14ac:dyDescent="0.25">
      <c r="B5" s="70" t="s">
        <v>3</v>
      </c>
      <c r="C5" s="70"/>
      <c r="D5" s="70"/>
      <c r="E5" s="70"/>
      <c r="F5" s="70"/>
      <c r="G5" s="70"/>
      <c r="H5" s="70"/>
      <c r="I5" s="70"/>
      <c r="J5" s="70"/>
      <c r="K5" s="70"/>
    </row>
    <row r="7" spans="2:11" x14ac:dyDescent="0.25">
      <c r="B7" s="7" t="s">
        <v>4</v>
      </c>
      <c r="C7" s="8"/>
      <c r="D7" s="8"/>
      <c r="E7" s="8"/>
      <c r="F7" s="8"/>
      <c r="G7" s="8"/>
      <c r="H7" s="8"/>
      <c r="I7" s="8"/>
      <c r="J7" s="8"/>
      <c r="K7" s="8"/>
    </row>
    <row r="8" spans="2:11" ht="15" customHeight="1" x14ac:dyDescent="0.25">
      <c r="B8" s="70" t="s">
        <v>5</v>
      </c>
      <c r="C8" s="70"/>
      <c r="D8" s="70"/>
      <c r="E8" s="70"/>
      <c r="F8" s="70"/>
      <c r="G8" s="70"/>
      <c r="H8" s="70"/>
      <c r="I8" s="70"/>
      <c r="J8" s="70"/>
      <c r="K8" s="70"/>
    </row>
    <row r="9" spans="2:11" ht="15" customHeight="1" x14ac:dyDescent="0.25">
      <c r="B9" s="70" t="s">
        <v>6</v>
      </c>
      <c r="C9" s="70"/>
      <c r="D9" s="70"/>
      <c r="E9" s="70"/>
      <c r="F9" s="70"/>
      <c r="G9" s="70"/>
      <c r="H9" s="70"/>
      <c r="I9" s="70"/>
      <c r="J9" s="70"/>
      <c r="K9" s="70"/>
    </row>
    <row r="10" spans="2:11" ht="27" customHeight="1" x14ac:dyDescent="0.25">
      <c r="B10" s="70" t="s">
        <v>7</v>
      </c>
      <c r="C10" s="70"/>
      <c r="D10" s="70"/>
      <c r="E10" s="70"/>
      <c r="F10" s="70"/>
      <c r="G10" s="70"/>
      <c r="H10" s="70"/>
      <c r="I10" s="70"/>
      <c r="J10" s="70"/>
      <c r="K10" s="70"/>
    </row>
    <row r="11" spans="2:11" ht="15" customHeight="1" x14ac:dyDescent="0.25">
      <c r="B11" s="70" t="s">
        <v>8</v>
      </c>
      <c r="C11" s="70"/>
      <c r="D11" s="70"/>
      <c r="E11" s="70"/>
      <c r="F11" s="70"/>
      <c r="G11" s="70"/>
      <c r="H11" s="70"/>
      <c r="I11" s="70"/>
      <c r="J11" s="70"/>
      <c r="K11" s="70"/>
    </row>
    <row r="12" spans="2:11" ht="15" customHeight="1" x14ac:dyDescent="0.25">
      <c r="B12" s="70" t="s">
        <v>9</v>
      </c>
      <c r="C12" s="70"/>
      <c r="D12" s="70"/>
      <c r="E12" s="70"/>
      <c r="F12" s="70"/>
      <c r="G12" s="70"/>
      <c r="H12" s="70"/>
      <c r="I12" s="70"/>
      <c r="J12" s="70"/>
      <c r="K12" s="70"/>
    </row>
    <row r="13" spans="2:11" ht="15" customHeight="1" x14ac:dyDescent="0.25">
      <c r="B13" s="70" t="s">
        <v>10</v>
      </c>
      <c r="C13" s="70"/>
      <c r="D13" s="70"/>
      <c r="E13" s="70"/>
      <c r="F13" s="70"/>
      <c r="G13" s="70"/>
      <c r="H13" s="70"/>
      <c r="I13" s="70"/>
      <c r="J13" s="70"/>
      <c r="K13" s="70"/>
    </row>
    <row r="15" spans="2:11" x14ac:dyDescent="0.25">
      <c r="B15" s="7" t="s">
        <v>11</v>
      </c>
      <c r="C15" s="8"/>
      <c r="D15" s="8"/>
      <c r="E15" s="8"/>
      <c r="F15" s="8"/>
      <c r="G15" s="8"/>
      <c r="H15" s="8"/>
      <c r="I15" s="8"/>
      <c r="J15" s="8"/>
      <c r="K15" s="8"/>
    </row>
    <row r="16" spans="2:11" ht="27" customHeight="1" x14ac:dyDescent="0.25">
      <c r="B16" s="70" t="s">
        <v>12</v>
      </c>
      <c r="C16" s="70"/>
      <c r="D16" s="70"/>
      <c r="E16" s="70"/>
      <c r="F16" s="70"/>
      <c r="G16" s="70"/>
      <c r="H16" s="70"/>
      <c r="I16" s="70"/>
      <c r="J16" s="70"/>
      <c r="K16" s="70"/>
    </row>
    <row r="17" spans="2:11" ht="27" customHeight="1" x14ac:dyDescent="0.25">
      <c r="B17" s="70" t="s">
        <v>13</v>
      </c>
      <c r="C17" s="70"/>
      <c r="D17" s="70"/>
      <c r="E17" s="70"/>
      <c r="F17" s="70"/>
      <c r="G17" s="70"/>
      <c r="H17" s="70"/>
      <c r="I17" s="70"/>
      <c r="J17" s="70"/>
      <c r="K17" s="70"/>
    </row>
    <row r="18" spans="2:11" ht="15" customHeight="1" x14ac:dyDescent="0.25">
      <c r="B18" s="70" t="s">
        <v>14</v>
      </c>
      <c r="C18" s="70"/>
      <c r="D18" s="70"/>
      <c r="E18" s="70"/>
      <c r="F18" s="70"/>
      <c r="G18" s="70"/>
      <c r="H18" s="70"/>
      <c r="I18" s="70"/>
      <c r="J18" s="70"/>
      <c r="K18" s="70"/>
    </row>
    <row r="19" spans="2:11" ht="27" customHeight="1" x14ac:dyDescent="0.25">
      <c r="B19" s="70" t="s">
        <v>15</v>
      </c>
      <c r="C19" s="70"/>
      <c r="D19" s="70"/>
      <c r="E19" s="70"/>
      <c r="F19" s="70"/>
      <c r="G19" s="70"/>
      <c r="H19" s="70"/>
      <c r="I19" s="70"/>
      <c r="J19" s="70"/>
      <c r="K19" s="70"/>
    </row>
    <row r="21" spans="2:11" x14ac:dyDescent="0.25">
      <c r="B21" s="7" t="s">
        <v>16</v>
      </c>
      <c r="C21" s="8"/>
      <c r="D21" s="8"/>
      <c r="E21" s="8"/>
      <c r="F21" s="8"/>
      <c r="G21" s="8"/>
      <c r="H21" s="8"/>
      <c r="I21" s="8"/>
      <c r="J21" s="8"/>
      <c r="K21" s="8"/>
    </row>
    <row r="22" spans="2:11" ht="30" customHeight="1" x14ac:dyDescent="0.25">
      <c r="B22" s="9" t="s">
        <v>17</v>
      </c>
      <c r="C22" s="9" t="s">
        <v>18</v>
      </c>
      <c r="D22" s="9" t="s">
        <v>19</v>
      </c>
      <c r="E22" s="9" t="s">
        <v>20</v>
      </c>
      <c r="F22" s="9" t="s">
        <v>21</v>
      </c>
      <c r="G22" s="9" t="s">
        <v>22</v>
      </c>
      <c r="H22" s="9" t="s">
        <v>23</v>
      </c>
      <c r="I22" s="9" t="s">
        <v>24</v>
      </c>
      <c r="J22" s="9" t="s">
        <v>25</v>
      </c>
      <c r="K22" s="9" t="s">
        <v>26</v>
      </c>
    </row>
    <row r="23" spans="2:11" x14ac:dyDescent="0.25">
      <c r="B23" s="10" t="s">
        <v>27</v>
      </c>
      <c r="C23" s="11"/>
      <c r="D23" s="11"/>
      <c r="E23" s="11" t="s">
        <v>28</v>
      </c>
      <c r="F23" s="11"/>
      <c r="G23" s="11"/>
      <c r="H23" s="11"/>
      <c r="I23" s="11"/>
      <c r="J23" s="11" t="s">
        <v>28</v>
      </c>
      <c r="K23" s="11"/>
    </row>
    <row r="24" spans="2:11" ht="27" customHeight="1" x14ac:dyDescent="0.25">
      <c r="B24" s="74" t="s">
        <v>29</v>
      </c>
      <c r="C24" s="74"/>
      <c r="D24" s="74"/>
      <c r="E24" s="74"/>
      <c r="F24" s="74"/>
      <c r="G24" s="74"/>
      <c r="H24" s="74"/>
      <c r="I24" s="74"/>
      <c r="J24" s="74"/>
      <c r="K24" s="74"/>
    </row>
    <row r="26" spans="2:11" x14ac:dyDescent="0.25">
      <c r="B26" s="7" t="s">
        <v>30</v>
      </c>
      <c r="C26" s="8"/>
      <c r="D26" s="8"/>
      <c r="E26" s="8"/>
      <c r="F26" s="8"/>
      <c r="G26" s="8"/>
      <c r="H26" s="8"/>
      <c r="I26" s="8"/>
      <c r="J26" s="8"/>
      <c r="K26" s="8"/>
    </row>
    <row r="27" spans="2:11" x14ac:dyDescent="0.25">
      <c r="B27" s="12" t="s">
        <v>31</v>
      </c>
      <c r="C27" s="72" t="s">
        <v>32</v>
      </c>
      <c r="D27" s="72"/>
      <c r="E27" s="72"/>
      <c r="F27" s="72"/>
      <c r="G27" s="72"/>
      <c r="H27" s="72"/>
      <c r="I27" s="72"/>
      <c r="J27" s="72"/>
      <c r="K27" s="72"/>
    </row>
    <row r="28" spans="2:11" x14ac:dyDescent="0.25">
      <c r="B28" s="12" t="s">
        <v>33</v>
      </c>
      <c r="C28" s="72" t="s">
        <v>34</v>
      </c>
      <c r="D28" s="72"/>
      <c r="E28" s="72"/>
      <c r="F28" s="72"/>
      <c r="G28" s="72"/>
      <c r="H28" s="72"/>
      <c r="I28" s="72"/>
      <c r="J28" s="72"/>
      <c r="K28" s="72"/>
    </row>
    <row r="29" spans="2:11" x14ac:dyDescent="0.25">
      <c r="B29" s="12" t="s">
        <v>35</v>
      </c>
      <c r="C29" s="72" t="s">
        <v>36</v>
      </c>
      <c r="D29" s="72"/>
      <c r="E29" s="72"/>
      <c r="F29" s="72"/>
      <c r="G29" s="72"/>
      <c r="H29" s="72"/>
      <c r="I29" s="72"/>
      <c r="J29" s="72"/>
      <c r="K29" s="72"/>
    </row>
    <row r="30" spans="2:11" x14ac:dyDescent="0.25">
      <c r="B30" s="12" t="s">
        <v>37</v>
      </c>
      <c r="C30" s="72" t="s">
        <v>38</v>
      </c>
      <c r="D30" s="72"/>
      <c r="E30" s="72"/>
      <c r="F30" s="72"/>
      <c r="G30" s="72"/>
      <c r="H30" s="72"/>
      <c r="I30" s="72"/>
      <c r="J30" s="72"/>
      <c r="K30" s="72"/>
    </row>
    <row r="31" spans="2:11" x14ac:dyDescent="0.25">
      <c r="B31" s="12" t="s">
        <v>39</v>
      </c>
      <c r="C31" s="72" t="s">
        <v>40</v>
      </c>
      <c r="D31" s="72"/>
      <c r="E31" s="72"/>
      <c r="F31" s="72"/>
      <c r="G31" s="72"/>
      <c r="H31" s="72"/>
      <c r="I31" s="72"/>
      <c r="J31" s="72"/>
      <c r="K31" s="72"/>
    </row>
    <row r="32" spans="2:11" x14ac:dyDescent="0.25">
      <c r="B32" s="12" t="s">
        <v>41</v>
      </c>
      <c r="C32" s="72" t="s">
        <v>42</v>
      </c>
      <c r="D32" s="72"/>
      <c r="E32" s="72"/>
      <c r="F32" s="72"/>
      <c r="G32" s="72"/>
      <c r="H32" s="72"/>
      <c r="I32" s="72"/>
      <c r="J32" s="72"/>
      <c r="K32" s="72"/>
    </row>
    <row r="33" spans="2:11" x14ac:dyDescent="0.25">
      <c r="B33" s="12" t="s">
        <v>43</v>
      </c>
      <c r="C33" s="72" t="s">
        <v>44</v>
      </c>
      <c r="D33" s="72"/>
      <c r="E33" s="72"/>
      <c r="F33" s="72"/>
      <c r="G33" s="72"/>
      <c r="H33" s="72"/>
      <c r="I33" s="72"/>
      <c r="J33" s="72"/>
      <c r="K33" s="72"/>
    </row>
    <row r="34" spans="2:11" x14ac:dyDescent="0.25">
      <c r="B34" s="12" t="s">
        <v>45</v>
      </c>
      <c r="C34" s="72" t="s">
        <v>46</v>
      </c>
      <c r="D34" s="72"/>
      <c r="E34" s="72"/>
      <c r="F34" s="72"/>
      <c r="G34" s="72"/>
      <c r="H34" s="72"/>
      <c r="I34" s="72"/>
      <c r="J34" s="72"/>
      <c r="K34" s="72"/>
    </row>
    <row r="35" spans="2:11" x14ac:dyDescent="0.25">
      <c r="B35" s="12" t="s">
        <v>47</v>
      </c>
      <c r="C35" s="72" t="s">
        <v>48</v>
      </c>
      <c r="D35" s="72"/>
      <c r="E35" s="72"/>
      <c r="F35" s="72"/>
      <c r="G35" s="72"/>
      <c r="H35" s="72"/>
      <c r="I35" s="72"/>
      <c r="J35" s="72"/>
      <c r="K35" s="72"/>
    </row>
    <row r="36" spans="2:11" x14ac:dyDescent="0.25">
      <c r="B36" s="12" t="s">
        <v>49</v>
      </c>
      <c r="C36" s="72" t="s">
        <v>50</v>
      </c>
      <c r="D36" s="72"/>
      <c r="E36" s="72"/>
      <c r="F36" s="72"/>
      <c r="G36" s="72"/>
      <c r="H36" s="72"/>
      <c r="I36" s="72"/>
      <c r="J36" s="72"/>
      <c r="K36" s="72"/>
    </row>
    <row r="37" spans="2:11" x14ac:dyDescent="0.25">
      <c r="B37" s="12" t="s">
        <v>51</v>
      </c>
      <c r="C37" s="72" t="s">
        <v>52</v>
      </c>
      <c r="D37" s="72"/>
      <c r="E37" s="72"/>
      <c r="F37" s="72"/>
      <c r="G37" s="72"/>
      <c r="H37" s="72"/>
      <c r="I37" s="72"/>
      <c r="J37" s="72"/>
      <c r="K37" s="72"/>
    </row>
    <row r="39" spans="2:11" x14ac:dyDescent="0.25">
      <c r="B39" s="7" t="s">
        <v>53</v>
      </c>
      <c r="C39" s="8"/>
      <c r="D39" s="8"/>
      <c r="E39" s="8"/>
      <c r="F39" s="8"/>
      <c r="G39" s="8"/>
      <c r="H39" s="8"/>
      <c r="I39" s="8"/>
      <c r="J39" s="8"/>
      <c r="K39" s="8"/>
    </row>
    <row r="40" spans="2:11" x14ac:dyDescent="0.25">
      <c r="B40" s="3" t="s">
        <v>54</v>
      </c>
      <c r="C40" s="3" t="s">
        <v>55</v>
      </c>
      <c r="D40" s="3" t="s">
        <v>56</v>
      </c>
      <c r="E40" s="73" t="s">
        <v>57</v>
      </c>
      <c r="F40" s="73"/>
      <c r="G40" s="73"/>
      <c r="H40" s="73"/>
      <c r="I40" s="73"/>
      <c r="J40" s="73"/>
      <c r="K40" s="73"/>
    </row>
    <row r="41" spans="2:11" ht="15" customHeight="1" x14ac:dyDescent="0.25">
      <c r="B41" s="2" t="s">
        <v>58</v>
      </c>
      <c r="C41" s="13" t="s">
        <v>59</v>
      </c>
      <c r="D41" s="13">
        <v>5</v>
      </c>
      <c r="E41" s="71" t="s">
        <v>60</v>
      </c>
      <c r="F41" s="71"/>
      <c r="G41" s="71"/>
      <c r="H41" s="71"/>
      <c r="I41" s="71"/>
      <c r="J41" s="71"/>
      <c r="K41" s="71"/>
    </row>
    <row r="42" spans="2:11" ht="15" customHeight="1" x14ac:dyDescent="0.25">
      <c r="B42" s="2" t="s">
        <v>61</v>
      </c>
      <c r="C42" s="13" t="s">
        <v>62</v>
      </c>
      <c r="D42" s="13">
        <v>7</v>
      </c>
      <c r="E42" s="71" t="s">
        <v>63</v>
      </c>
      <c r="F42" s="71"/>
      <c r="G42" s="71"/>
      <c r="H42" s="71"/>
      <c r="I42" s="71"/>
      <c r="J42" s="71"/>
      <c r="K42" s="71"/>
    </row>
    <row r="43" spans="2:11" ht="15" customHeight="1" x14ac:dyDescent="0.25">
      <c r="B43" s="2" t="s">
        <v>64</v>
      </c>
      <c r="C43" s="13" t="s">
        <v>65</v>
      </c>
      <c r="D43" s="13">
        <v>5</v>
      </c>
      <c r="E43" s="71" t="s">
        <v>66</v>
      </c>
      <c r="F43" s="71"/>
      <c r="G43" s="71"/>
      <c r="H43" s="71"/>
      <c r="I43" s="71"/>
      <c r="J43" s="71"/>
      <c r="K43" s="71"/>
    </row>
    <row r="44" spans="2:11" ht="15" customHeight="1" x14ac:dyDescent="0.25">
      <c r="B44" s="2" t="s">
        <v>67</v>
      </c>
      <c r="C44" s="13" t="s">
        <v>68</v>
      </c>
      <c r="D44" s="13">
        <v>5</v>
      </c>
      <c r="E44" s="71" t="s">
        <v>69</v>
      </c>
      <c r="F44" s="71"/>
      <c r="G44" s="71"/>
      <c r="H44" s="71"/>
      <c r="I44" s="71"/>
      <c r="J44" s="71"/>
      <c r="K44" s="71"/>
    </row>
    <row r="45" spans="2:11" ht="15" customHeight="1" x14ac:dyDescent="0.25">
      <c r="B45" s="2" t="s">
        <v>70</v>
      </c>
      <c r="C45" s="13" t="s">
        <v>71</v>
      </c>
      <c r="D45" s="13">
        <v>6</v>
      </c>
      <c r="E45" s="71" t="s">
        <v>72</v>
      </c>
      <c r="F45" s="71"/>
      <c r="G45" s="71"/>
      <c r="H45" s="71"/>
      <c r="I45" s="71"/>
      <c r="J45" s="71"/>
      <c r="K45" s="71"/>
    </row>
    <row r="46" spans="2:11" ht="15" customHeight="1" x14ac:dyDescent="0.25">
      <c r="B46" s="2" t="s">
        <v>73</v>
      </c>
      <c r="C46" s="13" t="s">
        <v>74</v>
      </c>
      <c r="D46" s="13">
        <v>8</v>
      </c>
      <c r="E46" s="71" t="s">
        <v>75</v>
      </c>
      <c r="F46" s="71"/>
      <c r="G46" s="71"/>
      <c r="H46" s="71"/>
      <c r="I46" s="71"/>
      <c r="J46" s="71"/>
      <c r="K46" s="71"/>
    </row>
    <row r="47" spans="2:11" ht="15" customHeight="1" x14ac:dyDescent="0.25">
      <c r="B47" s="2" t="s">
        <v>76</v>
      </c>
      <c r="C47" s="13" t="s">
        <v>77</v>
      </c>
      <c r="D47" s="13">
        <v>9</v>
      </c>
      <c r="E47" s="71" t="s">
        <v>78</v>
      </c>
      <c r="F47" s="71"/>
      <c r="G47" s="71"/>
      <c r="H47" s="71"/>
      <c r="I47" s="71"/>
      <c r="J47" s="71"/>
      <c r="K47" s="71"/>
    </row>
    <row r="48" spans="2:11" ht="15" customHeight="1" x14ac:dyDescent="0.25">
      <c r="B48" s="2" t="s">
        <v>79</v>
      </c>
      <c r="C48" s="13" t="s">
        <v>80</v>
      </c>
      <c r="D48" s="13">
        <v>6</v>
      </c>
      <c r="E48" s="71" t="s">
        <v>81</v>
      </c>
      <c r="F48" s="71"/>
      <c r="G48" s="71"/>
      <c r="H48" s="71"/>
      <c r="I48" s="71"/>
      <c r="J48" s="71"/>
      <c r="K48" s="71"/>
    </row>
    <row r="49" spans="2:11" ht="15" customHeight="1" x14ac:dyDescent="0.25">
      <c r="B49" s="2" t="s">
        <v>82</v>
      </c>
      <c r="C49" s="13" t="s">
        <v>83</v>
      </c>
      <c r="D49" s="13">
        <v>6</v>
      </c>
      <c r="E49" s="71" t="s">
        <v>84</v>
      </c>
      <c r="F49" s="71"/>
      <c r="G49" s="71"/>
      <c r="H49" s="71"/>
      <c r="I49" s="71"/>
      <c r="J49" s="71"/>
      <c r="K49" s="71"/>
    </row>
    <row r="50" spans="2:11" ht="15" customHeight="1" x14ac:dyDescent="0.25">
      <c r="B50" s="2" t="s">
        <v>85</v>
      </c>
      <c r="C50" s="13" t="s">
        <v>86</v>
      </c>
      <c r="D50" s="13">
        <v>7</v>
      </c>
      <c r="E50" s="71" t="s">
        <v>87</v>
      </c>
      <c r="F50" s="71"/>
      <c r="G50" s="71"/>
      <c r="H50" s="71"/>
      <c r="I50" s="71"/>
      <c r="J50" s="71"/>
      <c r="K50" s="71"/>
    </row>
    <row r="51" spans="2:11" x14ac:dyDescent="0.25">
      <c r="B51" s="14" t="s">
        <v>88</v>
      </c>
    </row>
    <row r="54" spans="2:11" x14ac:dyDescent="0.25">
      <c r="B54" s="7" t="s">
        <v>89</v>
      </c>
      <c r="C54" s="8"/>
      <c r="D54" s="8"/>
      <c r="E54" s="8"/>
      <c r="F54" s="8"/>
      <c r="G54" s="8"/>
      <c r="H54" s="8"/>
      <c r="I54" s="8"/>
      <c r="J54" s="8"/>
      <c r="K54" s="8"/>
    </row>
    <row r="55" spans="2:11" ht="40.5" customHeight="1" x14ac:dyDescent="0.25">
      <c r="B55" s="70" t="s">
        <v>90</v>
      </c>
      <c r="C55" s="70"/>
      <c r="D55" s="70"/>
      <c r="E55" s="70"/>
      <c r="F55" s="70"/>
      <c r="G55" s="70"/>
      <c r="H55" s="70"/>
      <c r="I55" s="70"/>
      <c r="J55" s="70"/>
      <c r="K55" s="70"/>
    </row>
    <row r="56" spans="2:11" ht="54" customHeight="1" x14ac:dyDescent="0.25">
      <c r="B56" s="70" t="s">
        <v>91</v>
      </c>
      <c r="C56" s="70"/>
      <c r="D56" s="70"/>
      <c r="E56" s="70"/>
      <c r="F56" s="70"/>
      <c r="G56" s="70"/>
      <c r="H56" s="70"/>
      <c r="I56" s="70"/>
      <c r="J56" s="70"/>
      <c r="K56" s="70"/>
    </row>
    <row r="57" spans="2:11" ht="54" customHeight="1" x14ac:dyDescent="0.25">
      <c r="B57" s="70" t="s">
        <v>92</v>
      </c>
      <c r="C57" s="70"/>
      <c r="D57" s="70"/>
      <c r="E57" s="70"/>
      <c r="F57" s="70"/>
      <c r="G57" s="70"/>
      <c r="H57" s="70"/>
      <c r="I57" s="70"/>
      <c r="J57" s="70"/>
      <c r="K57" s="70"/>
    </row>
    <row r="58" spans="2:11" ht="27" customHeight="1" x14ac:dyDescent="0.25">
      <c r="B58" s="70" t="s">
        <v>93</v>
      </c>
      <c r="C58" s="70"/>
      <c r="D58" s="70"/>
      <c r="E58" s="70"/>
      <c r="F58" s="70"/>
      <c r="G58" s="70"/>
      <c r="H58" s="70"/>
      <c r="I58" s="70"/>
      <c r="J58" s="70"/>
      <c r="K58" s="70"/>
    </row>
    <row r="59" spans="2:11" ht="27" customHeight="1" x14ac:dyDescent="0.25">
      <c r="B59" s="70" t="s">
        <v>94</v>
      </c>
      <c r="C59" s="70"/>
      <c r="D59" s="70"/>
      <c r="E59" s="70"/>
      <c r="F59" s="70"/>
      <c r="G59" s="70"/>
      <c r="H59" s="70"/>
      <c r="I59" s="70"/>
      <c r="J59" s="70"/>
      <c r="K59" s="70"/>
    </row>
    <row r="60" spans="2:11" ht="40.5" customHeight="1" x14ac:dyDescent="0.25">
      <c r="B60" s="70" t="s">
        <v>95</v>
      </c>
      <c r="C60" s="70"/>
      <c r="D60" s="70"/>
      <c r="E60" s="70"/>
      <c r="F60" s="70"/>
      <c r="G60" s="70"/>
      <c r="H60" s="70"/>
      <c r="I60" s="70"/>
      <c r="J60" s="70"/>
      <c r="K60" s="70"/>
    </row>
    <row r="62" spans="2:11" x14ac:dyDescent="0.25">
      <c r="B62" s="7" t="s">
        <v>96</v>
      </c>
      <c r="C62" s="8"/>
      <c r="D62" s="8"/>
      <c r="E62" s="8"/>
      <c r="F62" s="8"/>
      <c r="G62" s="8"/>
      <c r="H62" s="8"/>
      <c r="I62" s="8"/>
      <c r="J62" s="8"/>
      <c r="K62" s="8"/>
    </row>
    <row r="63" spans="2:11" ht="40.5" customHeight="1" x14ac:dyDescent="0.25">
      <c r="B63" s="70" t="s">
        <v>97</v>
      </c>
      <c r="C63" s="70"/>
      <c r="D63" s="70"/>
      <c r="E63" s="70"/>
      <c r="F63" s="70"/>
      <c r="G63" s="70"/>
      <c r="H63" s="70"/>
      <c r="I63" s="70"/>
      <c r="J63" s="70"/>
      <c r="K63" s="70"/>
    </row>
    <row r="64" spans="2:11" ht="27" customHeight="1" x14ac:dyDescent="0.25">
      <c r="B64" s="70" t="s">
        <v>98</v>
      </c>
      <c r="C64" s="70"/>
      <c r="D64" s="70"/>
      <c r="E64" s="70"/>
      <c r="F64" s="70"/>
      <c r="G64" s="70"/>
      <c r="H64" s="70"/>
      <c r="I64" s="70"/>
      <c r="J64" s="70"/>
      <c r="K64" s="70"/>
    </row>
  </sheetData>
  <mergeCells count="42">
    <mergeCell ref="B5:K5"/>
    <mergeCell ref="B8:K8"/>
    <mergeCell ref="B9:K9"/>
    <mergeCell ref="B10:K10"/>
    <mergeCell ref="B11:K11"/>
    <mergeCell ref="B12:K12"/>
    <mergeCell ref="B13:K13"/>
    <mergeCell ref="B16:K16"/>
    <mergeCell ref="B17:K17"/>
    <mergeCell ref="B18:K18"/>
    <mergeCell ref="B19:K19"/>
    <mergeCell ref="B24:K24"/>
    <mergeCell ref="C27:K27"/>
    <mergeCell ref="C28:K28"/>
    <mergeCell ref="C29:K29"/>
    <mergeCell ref="C30:K30"/>
    <mergeCell ref="C31:K31"/>
    <mergeCell ref="C32:K32"/>
    <mergeCell ref="C33:K33"/>
    <mergeCell ref="C34:K34"/>
    <mergeCell ref="C35:K35"/>
    <mergeCell ref="C36:K36"/>
    <mergeCell ref="C37:K37"/>
    <mergeCell ref="E40:K40"/>
    <mergeCell ref="E41:K41"/>
    <mergeCell ref="E42:K42"/>
    <mergeCell ref="E43:K43"/>
    <mergeCell ref="E44:K44"/>
    <mergeCell ref="E45:K45"/>
    <mergeCell ref="E46:K46"/>
    <mergeCell ref="E47:K47"/>
    <mergeCell ref="E48:K48"/>
    <mergeCell ref="E49:K49"/>
    <mergeCell ref="E50:K50"/>
    <mergeCell ref="B55:K55"/>
    <mergeCell ref="B63:K63"/>
    <mergeCell ref="B64:K64"/>
    <mergeCell ref="B56:K56"/>
    <mergeCell ref="B57:K57"/>
    <mergeCell ref="B58:K58"/>
    <mergeCell ref="B59:K59"/>
    <mergeCell ref="B60:K60"/>
  </mergeCells>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B1:P154"/>
  <sheetViews>
    <sheetView showGridLines="0" zoomScale="90" zoomScaleNormal="90" workbookViewId="0">
      <pane ySplit="3" topLeftCell="A4" activePane="bottomLeft" state="frozen"/>
      <selection pane="bottomLeft" activeCell="E6" sqref="E6"/>
    </sheetView>
  </sheetViews>
  <sheetFormatPr baseColWidth="10" defaultColWidth="8.7109375" defaultRowHeight="15" x14ac:dyDescent="0.25"/>
  <cols>
    <col min="1" max="1" width="2" customWidth="1"/>
    <col min="2" max="2" width="79.7109375" customWidth="1"/>
    <col min="3" max="3" width="0.28515625" customWidth="1"/>
    <col min="4" max="8" width="4" customWidth="1"/>
    <col min="9" max="9" width="1" customWidth="1"/>
    <col min="10" max="13" width="3.7109375" customWidth="1"/>
    <col min="14" max="14" width="3.42578125" customWidth="1"/>
    <col min="15" max="15" width="42.85546875" customWidth="1"/>
    <col min="16" max="16" width="9" customWidth="1"/>
  </cols>
  <sheetData>
    <row r="1" spans="2:16" ht="21.75" customHeight="1" x14ac:dyDescent="0.25">
      <c r="B1" s="15" t="s">
        <v>99</v>
      </c>
    </row>
    <row r="2" spans="2:16" x14ac:dyDescent="0.25">
      <c r="D2" s="75" t="s">
        <v>100</v>
      </c>
      <c r="E2" s="75"/>
      <c r="F2" s="75"/>
      <c r="G2" s="75"/>
      <c r="H2" s="75"/>
      <c r="J2" s="75" t="s">
        <v>101</v>
      </c>
      <c r="K2" s="75"/>
      <c r="L2" s="75"/>
      <c r="M2" s="75"/>
    </row>
    <row r="3" spans="2:16" ht="67.5" customHeight="1" x14ac:dyDescent="0.25">
      <c r="B3" s="16" t="s">
        <v>102</v>
      </c>
      <c r="D3" s="17" t="s">
        <v>18</v>
      </c>
      <c r="E3" s="17" t="s">
        <v>19</v>
      </c>
      <c r="F3" s="17" t="s">
        <v>20</v>
      </c>
      <c r="G3" s="17" t="s">
        <v>21</v>
      </c>
      <c r="H3" s="17" t="s">
        <v>22</v>
      </c>
      <c r="J3" s="17" t="s">
        <v>23</v>
      </c>
      <c r="K3" s="17" t="s">
        <v>24</v>
      </c>
      <c r="L3" s="17" t="s">
        <v>25</v>
      </c>
      <c r="M3" s="17" t="s">
        <v>26</v>
      </c>
      <c r="O3" s="13" t="s">
        <v>103</v>
      </c>
      <c r="P3" s="13" t="s">
        <v>104</v>
      </c>
    </row>
    <row r="4" spans="2:16" x14ac:dyDescent="0.25">
      <c r="B4" s="18" t="s">
        <v>105</v>
      </c>
      <c r="C4" s="19"/>
      <c r="D4" s="19"/>
      <c r="E4" s="19"/>
      <c r="F4" s="19"/>
      <c r="G4" s="19"/>
      <c r="H4" s="19"/>
      <c r="I4" s="19"/>
      <c r="J4" s="19"/>
      <c r="K4" s="19"/>
      <c r="L4" s="19"/>
      <c r="M4" s="19"/>
      <c r="N4" s="19"/>
      <c r="O4" s="19"/>
      <c r="P4" s="19"/>
    </row>
    <row r="5" spans="2:16" x14ac:dyDescent="0.25">
      <c r="B5" s="20" t="s">
        <v>106</v>
      </c>
      <c r="C5" s="8"/>
      <c r="D5" s="8"/>
      <c r="E5" s="8"/>
      <c r="F5" s="8"/>
      <c r="G5" s="8"/>
      <c r="H5" s="8"/>
      <c r="I5" s="8"/>
      <c r="J5" s="8"/>
      <c r="K5" s="8"/>
      <c r="L5" s="8"/>
      <c r="M5" s="8"/>
      <c r="N5" s="8"/>
      <c r="O5" s="8"/>
      <c r="P5" s="8"/>
    </row>
    <row r="6" spans="2:16" ht="45.75" customHeight="1" x14ac:dyDescent="0.25">
      <c r="B6" s="21" t="s">
        <v>107</v>
      </c>
      <c r="C6" s="22">
        <f ca="1">+CalculosFoda!AD3</f>
        <v>6.9998999999999993</v>
      </c>
      <c r="D6" s="23"/>
      <c r="E6" s="23"/>
      <c r="F6" s="23"/>
      <c r="G6" s="23" t="s">
        <v>28</v>
      </c>
      <c r="H6" s="23"/>
      <c r="J6" s="23"/>
      <c r="K6" s="23"/>
      <c r="L6" s="23" t="s">
        <v>28</v>
      </c>
      <c r="M6" s="23"/>
      <c r="O6" s="24"/>
      <c r="P6" s="25" t="str">
        <f>IF(AND(COUNTIF(D6:H6,"x")=1,COUNTIF(J6:M6,"x")=1),"OK",IF(AND(COUNTIF(D6:H6,"x")=0,COUNTIF(J6:M6,"x")=0),"pendiente","revisar"))</f>
        <v>OK</v>
      </c>
    </row>
    <row r="7" spans="2:16" ht="45.75" customHeight="1" x14ac:dyDescent="0.25">
      <c r="B7" s="21" t="s">
        <v>108</v>
      </c>
      <c r="C7" s="22">
        <f ca="1">+CalculosFoda!AD4</f>
        <v>6.9998999999999993</v>
      </c>
      <c r="D7" s="23"/>
      <c r="E7" s="23"/>
      <c r="F7" s="23"/>
      <c r="G7" s="23" t="s">
        <v>28</v>
      </c>
      <c r="H7" s="23"/>
      <c r="J7" s="23"/>
      <c r="K7" s="23"/>
      <c r="L7" s="23"/>
      <c r="M7" s="23" t="s">
        <v>28</v>
      </c>
      <c r="O7" s="24"/>
      <c r="P7" s="25" t="str">
        <f>IF(AND(COUNTIF(D7:H7,"x")=1,COUNTIF(J7:M7,"x")=1),"OK",IF(AND(COUNTIF(D7:H7,"x")=0,COUNTIF(J7:M7,"x")=0),"pendiente","revisar"))</f>
        <v>OK</v>
      </c>
    </row>
    <row r="8" spans="2:16" ht="32.25" customHeight="1" x14ac:dyDescent="0.25">
      <c r="B8" s="21" t="s">
        <v>109</v>
      </c>
      <c r="C8" s="22">
        <f ca="1">+CalculosFoda!AD5</f>
        <v>6.9998999999999993</v>
      </c>
      <c r="D8" s="23"/>
      <c r="E8" s="23"/>
      <c r="F8" s="23"/>
      <c r="G8" s="23" t="s">
        <v>28</v>
      </c>
      <c r="H8" s="23"/>
      <c r="J8" s="23"/>
      <c r="K8" s="23"/>
      <c r="L8" s="23" t="s">
        <v>28</v>
      </c>
      <c r="M8" s="23"/>
      <c r="O8" s="24"/>
      <c r="P8" s="25" t="str">
        <f>IF(AND(COUNTIF(D8:H8,"x")=1,COUNTIF(J8:M8,"x")=1),"OK",IF(AND(COUNTIF(D8:H8,"x")=0,COUNTIF(J8:M8,"x")=0),"pendiente","revisar"))</f>
        <v>OK</v>
      </c>
    </row>
    <row r="9" spans="2:16" ht="45.75" customHeight="1" x14ac:dyDescent="0.25">
      <c r="B9" s="21" t="s">
        <v>110</v>
      </c>
      <c r="C9" s="22">
        <f ca="1">+CalculosFoda!AD6</f>
        <v>4.9999000000000002</v>
      </c>
      <c r="D9" s="23"/>
      <c r="E9" s="23"/>
      <c r="F9" s="23" t="s">
        <v>28</v>
      </c>
      <c r="G9" s="23"/>
      <c r="H9" s="23"/>
      <c r="J9" s="23"/>
      <c r="K9" s="23"/>
      <c r="L9" s="23" t="s">
        <v>28</v>
      </c>
      <c r="M9" s="23"/>
      <c r="O9" s="24"/>
      <c r="P9" s="25" t="str">
        <f>IF(AND(COUNTIF(D9:H9,"x")=1,COUNTIF(J9:M9,"x")=1),"OK",IF(AND(COUNTIF(D9:H9,"x")=0,COUNTIF(J9:M9,"x")=0),"pendiente","revisar"))</f>
        <v>OK</v>
      </c>
    </row>
    <row r="10" spans="2:16" ht="45.75" customHeight="1" x14ac:dyDescent="0.25">
      <c r="B10" s="21" t="s">
        <v>111</v>
      </c>
      <c r="C10" s="22">
        <f ca="1">+CalculosFoda!AD7</f>
        <v>4.9999000000000002</v>
      </c>
      <c r="D10" s="23"/>
      <c r="E10" s="23"/>
      <c r="F10" s="23" t="s">
        <v>28</v>
      </c>
      <c r="G10" s="23"/>
      <c r="H10" s="23"/>
      <c r="J10" s="23"/>
      <c r="K10" s="23"/>
      <c r="L10" s="23"/>
      <c r="M10" s="23" t="s">
        <v>28</v>
      </c>
      <c r="O10" s="24"/>
      <c r="P10" s="25" t="str">
        <f>IF(AND(COUNTIF(D10:H10,"x")=1,COUNTIF(J10:M10,"x")=1),"OK",IF(AND(COUNTIF(D10:H10,"x")=0,COUNTIF(J10:M10,"x")=0),"pendiente","revisar"))</f>
        <v>OK</v>
      </c>
    </row>
    <row r="12" spans="2:16" x14ac:dyDescent="0.25">
      <c r="B12" s="20" t="s">
        <v>112</v>
      </c>
      <c r="C12" s="8"/>
      <c r="D12" s="8"/>
      <c r="E12" s="8"/>
      <c r="F12" s="8"/>
      <c r="G12" s="8"/>
      <c r="H12" s="8"/>
      <c r="I12" s="8"/>
      <c r="J12" s="8"/>
      <c r="K12" s="8"/>
      <c r="L12" s="8"/>
      <c r="M12" s="8"/>
      <c r="N12" s="8"/>
      <c r="O12" s="8"/>
      <c r="P12" s="8"/>
    </row>
    <row r="13" spans="2:16" ht="45.75" customHeight="1" x14ac:dyDescent="0.25">
      <c r="B13" s="21" t="s">
        <v>113</v>
      </c>
      <c r="C13" s="22">
        <f ca="1">+CalculosFoda!AD10</f>
        <v>4.9999000000000002</v>
      </c>
      <c r="D13" s="23"/>
      <c r="E13" s="23"/>
      <c r="F13" s="23" t="s">
        <v>28</v>
      </c>
      <c r="G13" s="23"/>
      <c r="H13" s="23"/>
      <c r="J13" s="23"/>
      <c r="K13" s="23"/>
      <c r="L13" s="23"/>
      <c r="M13" s="23" t="s">
        <v>28</v>
      </c>
      <c r="O13" s="24"/>
      <c r="P13" s="25" t="str">
        <f t="shared" ref="P13:P19" si="0">IF(AND(COUNTIF(D13:H13,"x")=1,COUNTIF(J13:M13,"x")=1),"OK",IF(AND(COUNTIF(D13:H13,"x")=0,COUNTIF(J13:M13,"x")=0),"pendiente","revisar"))</f>
        <v>OK</v>
      </c>
    </row>
    <row r="14" spans="2:16" ht="45.75" customHeight="1" x14ac:dyDescent="0.25">
      <c r="B14" s="21" t="s">
        <v>114</v>
      </c>
      <c r="C14" s="22">
        <f ca="1">+CalculosFoda!AD11</f>
        <v>6.9998999999999993</v>
      </c>
      <c r="D14" s="23"/>
      <c r="E14" s="23"/>
      <c r="F14" s="23"/>
      <c r="G14" s="23" t="s">
        <v>28</v>
      </c>
      <c r="H14" s="23"/>
      <c r="J14" s="23"/>
      <c r="K14" s="23"/>
      <c r="L14" s="23" t="s">
        <v>28</v>
      </c>
      <c r="M14" s="23"/>
      <c r="O14" s="24"/>
      <c r="P14" s="25" t="str">
        <f t="shared" si="0"/>
        <v>OK</v>
      </c>
    </row>
    <row r="15" spans="2:16" ht="45.75" customHeight="1" x14ac:dyDescent="0.25">
      <c r="B15" s="21" t="s">
        <v>115</v>
      </c>
      <c r="C15" s="22">
        <f ca="1">+CalculosFoda!AD12</f>
        <v>4.9999000000000002</v>
      </c>
      <c r="D15" s="23"/>
      <c r="E15" s="23"/>
      <c r="F15" s="23" t="s">
        <v>28</v>
      </c>
      <c r="G15" s="23"/>
      <c r="H15" s="23"/>
      <c r="J15" s="23"/>
      <c r="K15" s="23"/>
      <c r="L15" s="23" t="s">
        <v>28</v>
      </c>
      <c r="M15" s="23"/>
      <c r="O15" s="24"/>
      <c r="P15" s="25" t="str">
        <f t="shared" si="0"/>
        <v>OK</v>
      </c>
    </row>
    <row r="16" spans="2:16" ht="45.75" customHeight="1" x14ac:dyDescent="0.25">
      <c r="B16" s="21" t="s">
        <v>116</v>
      </c>
      <c r="C16" s="22">
        <f ca="1">+CalculosFoda!AD13</f>
        <v>9.9998499999999986</v>
      </c>
      <c r="D16" s="23"/>
      <c r="E16" s="23"/>
      <c r="F16" s="23"/>
      <c r="G16" s="23"/>
      <c r="H16" s="23" t="s">
        <v>28</v>
      </c>
      <c r="J16" s="23"/>
      <c r="K16" s="23"/>
      <c r="L16" s="23" t="s">
        <v>28</v>
      </c>
      <c r="M16" s="23"/>
      <c r="O16" s="24"/>
      <c r="P16" s="25" t="str">
        <f t="shared" si="0"/>
        <v>OK</v>
      </c>
    </row>
    <row r="17" spans="2:16" ht="45.75" customHeight="1" x14ac:dyDescent="0.25">
      <c r="B17" s="21" t="s">
        <v>117</v>
      </c>
      <c r="C17" s="22">
        <f ca="1">+CalculosFoda!AD14</f>
        <v>9.9998499999999986</v>
      </c>
      <c r="D17" s="23"/>
      <c r="E17" s="23"/>
      <c r="F17" s="23"/>
      <c r="G17" s="23"/>
      <c r="H17" s="23" t="s">
        <v>28</v>
      </c>
      <c r="J17" s="23"/>
      <c r="K17" s="23"/>
      <c r="L17" s="23"/>
      <c r="M17" s="23" t="s">
        <v>28</v>
      </c>
      <c r="O17" s="24"/>
      <c r="P17" s="25" t="str">
        <f t="shared" si="0"/>
        <v>OK</v>
      </c>
    </row>
    <row r="18" spans="2:16" ht="45.75" customHeight="1" x14ac:dyDescent="0.25">
      <c r="B18" s="21" t="s">
        <v>118</v>
      </c>
      <c r="C18" s="22">
        <f ca="1">+CalculosFoda!AD15</f>
        <v>4.9999000000000002</v>
      </c>
      <c r="D18" s="23"/>
      <c r="E18" s="23"/>
      <c r="F18" s="23" t="s">
        <v>28</v>
      </c>
      <c r="G18" s="23"/>
      <c r="H18" s="23"/>
      <c r="J18" s="23"/>
      <c r="K18" s="23"/>
      <c r="L18" s="23" t="s">
        <v>28</v>
      </c>
      <c r="M18" s="23"/>
      <c r="O18" s="24"/>
      <c r="P18" s="25" t="str">
        <f t="shared" si="0"/>
        <v>OK</v>
      </c>
    </row>
    <row r="19" spans="2:16" ht="45.75" customHeight="1" x14ac:dyDescent="0.25">
      <c r="B19" s="21" t="s">
        <v>119</v>
      </c>
      <c r="C19" s="22">
        <f ca="1">+CalculosFoda!AD16</f>
        <v>2.9999000000000002</v>
      </c>
      <c r="D19" s="23"/>
      <c r="E19" s="23" t="s">
        <v>28</v>
      </c>
      <c r="F19" s="23"/>
      <c r="G19" s="23"/>
      <c r="H19" s="23"/>
      <c r="J19" s="23"/>
      <c r="K19" s="23"/>
      <c r="L19" s="23" t="s">
        <v>28</v>
      </c>
      <c r="M19" s="23"/>
      <c r="O19" s="24"/>
      <c r="P19" s="25" t="str">
        <f t="shared" si="0"/>
        <v>OK</v>
      </c>
    </row>
    <row r="21" spans="2:16" x14ac:dyDescent="0.25">
      <c r="B21" s="20" t="s">
        <v>120</v>
      </c>
      <c r="C21" s="8"/>
      <c r="D21" s="8"/>
      <c r="E21" s="8"/>
      <c r="F21" s="8"/>
      <c r="G21" s="8"/>
      <c r="H21" s="8"/>
      <c r="I21" s="8"/>
      <c r="J21" s="8"/>
      <c r="K21" s="8"/>
      <c r="L21" s="8"/>
      <c r="M21" s="8"/>
      <c r="N21" s="8"/>
      <c r="O21" s="8"/>
      <c r="P21" s="8"/>
    </row>
    <row r="22" spans="2:16" ht="45.75" customHeight="1" x14ac:dyDescent="0.25">
      <c r="B22" s="21" t="s">
        <v>121</v>
      </c>
      <c r="C22" s="22">
        <f ca="1">+CalculosFoda!AD19</f>
        <v>6.9998999999999993</v>
      </c>
      <c r="D22" s="23"/>
      <c r="E22" s="23"/>
      <c r="F22" s="23"/>
      <c r="G22" s="23" t="s">
        <v>28</v>
      </c>
      <c r="H22" s="23"/>
      <c r="J22" s="23"/>
      <c r="K22" s="23"/>
      <c r="L22" s="23"/>
      <c r="M22" s="23" t="s">
        <v>28</v>
      </c>
      <c r="O22" s="24"/>
      <c r="P22" s="25" t="str">
        <f>IF(AND(COUNTIF(D22:H22,"x")=1,COUNTIF(J22:M22,"x")=1),"OK",IF(AND(COUNTIF(D22:H22,"x")=0,COUNTIF(J22:M22,"x")=0),"pendiente","revisar"))</f>
        <v>OK</v>
      </c>
    </row>
    <row r="23" spans="2:16" ht="45.75" customHeight="1" x14ac:dyDescent="0.25">
      <c r="B23" s="21" t="s">
        <v>122</v>
      </c>
      <c r="C23" s="22">
        <f ca="1">+CalculosFoda!AD20</f>
        <v>2.9999000000000002</v>
      </c>
      <c r="D23" s="23"/>
      <c r="E23" s="23" t="s">
        <v>28</v>
      </c>
      <c r="F23" s="23"/>
      <c r="G23" s="23"/>
      <c r="H23" s="23"/>
      <c r="J23" s="23"/>
      <c r="K23" s="23"/>
      <c r="L23" s="23"/>
      <c r="M23" s="23" t="s">
        <v>28</v>
      </c>
      <c r="O23" s="24"/>
      <c r="P23" s="25" t="str">
        <f>IF(AND(COUNTIF(D23:H23,"x")=1,COUNTIF(J23:M23,"x")=1),"OK",IF(AND(COUNTIF(D23:H23,"x")=0,COUNTIF(J23:M23,"x")=0),"pendiente","revisar"))</f>
        <v>OK</v>
      </c>
    </row>
    <row r="24" spans="2:16" ht="32.25" customHeight="1" x14ac:dyDescent="0.25">
      <c r="B24" s="21" t="s">
        <v>123</v>
      </c>
      <c r="C24" s="22">
        <f ca="1">+CalculosFoda!AD21</f>
        <v>2.9999000000000002</v>
      </c>
      <c r="D24" s="23"/>
      <c r="E24" s="23" t="s">
        <v>28</v>
      </c>
      <c r="F24" s="23"/>
      <c r="G24" s="23"/>
      <c r="H24" s="23"/>
      <c r="J24" s="23"/>
      <c r="K24" s="23"/>
      <c r="L24" s="23" t="s">
        <v>28</v>
      </c>
      <c r="M24" s="23"/>
      <c r="O24" s="24"/>
      <c r="P24" s="25" t="str">
        <f>IF(AND(COUNTIF(D24:H24,"x")=1,COUNTIF(J24:M24,"x")=1),"OK",IF(AND(COUNTIF(D24:H24,"x")=0,COUNTIF(J24:M24,"x")=0),"pendiente","revisar"))</f>
        <v>OK</v>
      </c>
    </row>
    <row r="25" spans="2:16" ht="45.75" customHeight="1" x14ac:dyDescent="0.25">
      <c r="B25" s="21" t="s">
        <v>124</v>
      </c>
      <c r="C25" s="22">
        <f ca="1">+CalculosFoda!AD22</f>
        <v>2.9999000000000002</v>
      </c>
      <c r="D25" s="23"/>
      <c r="E25" s="23" t="s">
        <v>28</v>
      </c>
      <c r="F25" s="23"/>
      <c r="G25" s="23"/>
      <c r="H25" s="23"/>
      <c r="J25" s="23"/>
      <c r="K25" s="23"/>
      <c r="L25" s="23" t="s">
        <v>28</v>
      </c>
      <c r="M25" s="23"/>
      <c r="O25" s="24"/>
      <c r="P25" s="25" t="str">
        <f>IF(AND(COUNTIF(D25:H25,"x")=1,COUNTIF(J25:M25,"x")=1),"OK",IF(AND(COUNTIF(D25:H25,"x")=0,COUNTIF(J25:M25,"x")=0),"pendiente","revisar"))</f>
        <v>OK</v>
      </c>
    </row>
    <row r="26" spans="2:16" ht="45.75" customHeight="1" x14ac:dyDescent="0.25">
      <c r="B26" s="21" t="s">
        <v>125</v>
      </c>
      <c r="C26" s="22">
        <f ca="1">+CalculosFoda!AD23</f>
        <v>2.9999000000000002</v>
      </c>
      <c r="D26" s="23"/>
      <c r="E26" s="23" t="s">
        <v>28</v>
      </c>
      <c r="F26" s="23"/>
      <c r="G26" s="23"/>
      <c r="H26" s="23"/>
      <c r="J26" s="23"/>
      <c r="K26" s="23"/>
      <c r="L26" s="23"/>
      <c r="M26" s="23" t="s">
        <v>28</v>
      </c>
      <c r="O26" s="24"/>
      <c r="P26" s="25" t="str">
        <f>IF(AND(COUNTIF(D26:H26,"x")=1,COUNTIF(J26:M26,"x")=1),"OK",IF(AND(COUNTIF(D26:H26,"x")=0,COUNTIF(J26:M26,"x")=0),"pendiente","revisar"))</f>
        <v>OK</v>
      </c>
    </row>
    <row r="28" spans="2:16" x14ac:dyDescent="0.25">
      <c r="B28" s="20" t="s">
        <v>126</v>
      </c>
      <c r="C28" s="8"/>
      <c r="D28" s="8"/>
      <c r="E28" s="8"/>
      <c r="F28" s="8"/>
      <c r="G28" s="8"/>
      <c r="H28" s="8"/>
      <c r="I28" s="8"/>
      <c r="J28" s="8"/>
      <c r="K28" s="8"/>
      <c r="L28" s="8"/>
      <c r="M28" s="8"/>
      <c r="N28" s="8"/>
      <c r="O28" s="8"/>
      <c r="P28" s="8"/>
    </row>
    <row r="29" spans="2:16" ht="45.75" customHeight="1" x14ac:dyDescent="0.25">
      <c r="B29" s="21" t="s">
        <v>127</v>
      </c>
      <c r="C29" s="22">
        <f ca="1">+CalculosFoda!AD26</f>
        <v>6.9998999999999993</v>
      </c>
      <c r="D29" s="23"/>
      <c r="E29" s="23"/>
      <c r="F29" s="23"/>
      <c r="G29" s="23" t="s">
        <v>28</v>
      </c>
      <c r="H29" s="23"/>
      <c r="J29" s="23"/>
      <c r="K29" s="23"/>
      <c r="L29" s="23"/>
      <c r="M29" s="23" t="s">
        <v>28</v>
      </c>
      <c r="O29" s="24"/>
      <c r="P29" s="25" t="str">
        <f>IF(AND(COUNTIF(D29:H29,"x")=1,COUNTIF(J29:M29,"x")=1),"OK",IF(AND(COUNTIF(D29:H29,"x")=0,COUNTIF(J29:M29,"x")=0),"pendiente","revisar"))</f>
        <v>OK</v>
      </c>
    </row>
    <row r="30" spans="2:16" ht="45.75" customHeight="1" x14ac:dyDescent="0.25">
      <c r="B30" s="21" t="s">
        <v>128</v>
      </c>
      <c r="C30" s="22">
        <f ca="1">+CalculosFoda!AD27</f>
        <v>4.9999000000000002</v>
      </c>
      <c r="D30" s="23"/>
      <c r="E30" s="23"/>
      <c r="F30" s="23" t="s">
        <v>28</v>
      </c>
      <c r="G30" s="23"/>
      <c r="H30" s="23"/>
      <c r="J30" s="23"/>
      <c r="K30" s="23"/>
      <c r="L30" s="23"/>
      <c r="M30" s="23" t="s">
        <v>28</v>
      </c>
      <c r="O30" s="24"/>
      <c r="P30" s="25" t="str">
        <f>IF(AND(COUNTIF(D30:H30,"x")=1,COUNTIF(J30:M30,"x")=1),"OK",IF(AND(COUNTIF(D30:H30,"x")=0,COUNTIF(J30:M30,"x")=0),"pendiente","revisar"))</f>
        <v>OK</v>
      </c>
    </row>
    <row r="31" spans="2:16" ht="45.75" customHeight="1" x14ac:dyDescent="0.25">
      <c r="B31" s="21" t="s">
        <v>129</v>
      </c>
      <c r="C31" s="22">
        <f ca="1">+CalculosFoda!AD28</f>
        <v>4.9999000000000002</v>
      </c>
      <c r="D31" s="23"/>
      <c r="E31" s="23"/>
      <c r="F31" s="23" t="s">
        <v>28</v>
      </c>
      <c r="G31" s="23"/>
      <c r="H31" s="23"/>
      <c r="J31" s="23"/>
      <c r="K31" s="23"/>
      <c r="L31" s="23" t="s">
        <v>28</v>
      </c>
      <c r="M31" s="23"/>
      <c r="O31" s="24"/>
      <c r="P31" s="25" t="str">
        <f>IF(AND(COUNTIF(D31:H31,"x")=1,COUNTIF(J31:M31,"x")=1),"OK",IF(AND(COUNTIF(D31:H31,"x")=0,COUNTIF(J31:M31,"x")=0),"pendiente","revisar"))</f>
        <v>OK</v>
      </c>
    </row>
    <row r="32" spans="2:16" ht="45.75" customHeight="1" x14ac:dyDescent="0.25">
      <c r="B32" s="21" t="s">
        <v>130</v>
      </c>
      <c r="C32" s="22">
        <f ca="1">+CalculosFoda!AD29</f>
        <v>2.9999000000000002</v>
      </c>
      <c r="D32" s="23"/>
      <c r="E32" s="23" t="s">
        <v>28</v>
      </c>
      <c r="F32" s="23"/>
      <c r="G32" s="23"/>
      <c r="H32" s="23"/>
      <c r="J32" s="23"/>
      <c r="K32" s="23"/>
      <c r="L32" s="23" t="s">
        <v>28</v>
      </c>
      <c r="M32" s="23"/>
      <c r="O32" s="24"/>
      <c r="P32" s="25" t="str">
        <f>IF(AND(COUNTIF(D32:H32,"x")=1,COUNTIF(J32:M32,"x")=1),"OK",IF(AND(COUNTIF(D32:H32,"x")=0,COUNTIF(J32:M32,"x")=0),"pendiente","revisar"))</f>
        <v>OK</v>
      </c>
    </row>
    <row r="33" spans="2:16" ht="45.75" customHeight="1" x14ac:dyDescent="0.25">
      <c r="B33" s="21" t="s">
        <v>131</v>
      </c>
      <c r="C33" s="22">
        <f ca="1">+CalculosFoda!AD30</f>
        <v>4.9999000000000002</v>
      </c>
      <c r="D33" s="23"/>
      <c r="E33" s="23"/>
      <c r="F33" s="23" t="s">
        <v>28</v>
      </c>
      <c r="G33" s="23"/>
      <c r="H33" s="23"/>
      <c r="J33" s="23"/>
      <c r="K33" s="23"/>
      <c r="L33" s="23" t="s">
        <v>28</v>
      </c>
      <c r="M33" s="23"/>
      <c r="O33" s="24"/>
      <c r="P33" s="25" t="str">
        <f>IF(AND(COUNTIF(D33:H33,"x")=1,COUNTIF(J33:M33,"x")=1),"OK",IF(AND(COUNTIF(D33:H33,"x")=0,COUNTIF(J33:M33,"x")=0),"pendiente","revisar"))</f>
        <v>OK</v>
      </c>
    </row>
    <row r="35" spans="2:16" x14ac:dyDescent="0.25">
      <c r="B35" s="20" t="s">
        <v>132</v>
      </c>
      <c r="C35" s="8"/>
      <c r="D35" s="8"/>
      <c r="E35" s="8"/>
      <c r="F35" s="8"/>
      <c r="G35" s="8"/>
      <c r="H35" s="8"/>
      <c r="I35" s="8"/>
      <c r="J35" s="8"/>
      <c r="K35" s="8"/>
      <c r="L35" s="8"/>
      <c r="M35" s="8"/>
      <c r="N35" s="8"/>
      <c r="O35" s="8"/>
      <c r="P35" s="8"/>
    </row>
    <row r="36" spans="2:16" ht="32.25" customHeight="1" x14ac:dyDescent="0.25">
      <c r="B36" s="21" t="s">
        <v>133</v>
      </c>
      <c r="C36" s="22">
        <f ca="1">+CalculosFoda!AD33</f>
        <v>6.9998999999999993</v>
      </c>
      <c r="D36" s="23"/>
      <c r="E36" s="23"/>
      <c r="F36" s="23"/>
      <c r="G36" s="23" t="s">
        <v>28</v>
      </c>
      <c r="H36" s="23"/>
      <c r="J36" s="23"/>
      <c r="K36" s="23"/>
      <c r="L36" s="23"/>
      <c r="M36" s="23" t="s">
        <v>28</v>
      </c>
      <c r="O36" s="24"/>
      <c r="P36" s="25" t="str">
        <f t="shared" ref="P36:P41" si="1">IF(AND(COUNTIF(D36:H36,"x")=1,COUNTIF(J36:M36,"x")=1),"OK",IF(AND(COUNTIF(D36:H36,"x")=0,COUNTIF(J36:M36,"x")=0),"pendiente","revisar"))</f>
        <v>OK</v>
      </c>
    </row>
    <row r="37" spans="2:16" ht="45.75" customHeight="1" x14ac:dyDescent="0.25">
      <c r="B37" s="21" t="s">
        <v>134</v>
      </c>
      <c r="C37" s="22">
        <f ca="1">+CalculosFoda!AD34</f>
        <v>6.9998999999999993</v>
      </c>
      <c r="D37" s="23"/>
      <c r="E37" s="23"/>
      <c r="F37" s="23"/>
      <c r="G37" s="23" t="s">
        <v>28</v>
      </c>
      <c r="H37" s="23"/>
      <c r="J37" s="23"/>
      <c r="K37" s="23"/>
      <c r="L37" s="23" t="s">
        <v>28</v>
      </c>
      <c r="M37" s="23"/>
      <c r="O37" s="24"/>
      <c r="P37" s="25" t="str">
        <f t="shared" si="1"/>
        <v>OK</v>
      </c>
    </row>
    <row r="38" spans="2:16" ht="45.75" customHeight="1" x14ac:dyDescent="0.25">
      <c r="B38" s="21" t="s">
        <v>135</v>
      </c>
      <c r="C38" s="22">
        <f ca="1">+CalculosFoda!AD35</f>
        <v>0.99994999999999989</v>
      </c>
      <c r="D38" s="23" t="s">
        <v>28</v>
      </c>
      <c r="E38" s="23"/>
      <c r="F38" s="23"/>
      <c r="G38" s="23"/>
      <c r="H38" s="23"/>
      <c r="J38" s="23"/>
      <c r="K38" s="23"/>
      <c r="L38" s="23" t="s">
        <v>28</v>
      </c>
      <c r="M38" s="23"/>
      <c r="O38" s="24"/>
      <c r="P38" s="25" t="str">
        <f t="shared" si="1"/>
        <v>OK</v>
      </c>
    </row>
    <row r="39" spans="2:16" ht="45.75" customHeight="1" x14ac:dyDescent="0.25">
      <c r="B39" s="21" t="s">
        <v>136</v>
      </c>
      <c r="C39" s="22">
        <f ca="1">+CalculosFoda!AD36</f>
        <v>6.9998999999999993</v>
      </c>
      <c r="D39" s="23"/>
      <c r="E39" s="23"/>
      <c r="F39" s="23"/>
      <c r="G39" s="23" t="s">
        <v>28</v>
      </c>
      <c r="H39" s="23"/>
      <c r="J39" s="23"/>
      <c r="K39" s="23"/>
      <c r="L39" s="23" t="s">
        <v>28</v>
      </c>
      <c r="M39" s="23"/>
      <c r="O39" s="24"/>
      <c r="P39" s="25" t="str">
        <f t="shared" si="1"/>
        <v>OK</v>
      </c>
    </row>
    <row r="40" spans="2:16" ht="32.25" customHeight="1" x14ac:dyDescent="0.25">
      <c r="B40" s="21" t="s">
        <v>137</v>
      </c>
      <c r="C40" s="22">
        <f ca="1">+CalculosFoda!AD37</f>
        <v>6.9998999999999993</v>
      </c>
      <c r="D40" s="23"/>
      <c r="E40" s="23"/>
      <c r="F40" s="23"/>
      <c r="G40" s="23" t="s">
        <v>28</v>
      </c>
      <c r="H40" s="23"/>
      <c r="J40" s="23"/>
      <c r="K40" s="23"/>
      <c r="L40" s="23" t="s">
        <v>28</v>
      </c>
      <c r="M40" s="23"/>
      <c r="O40" s="24"/>
      <c r="P40" s="25" t="str">
        <f t="shared" si="1"/>
        <v>OK</v>
      </c>
    </row>
    <row r="41" spans="2:16" ht="45.75" customHeight="1" x14ac:dyDescent="0.25">
      <c r="B41" s="21" t="s">
        <v>138</v>
      </c>
      <c r="C41" s="22">
        <f ca="1">+CalculosFoda!AD38</f>
        <v>4.9999000000000002</v>
      </c>
      <c r="D41" s="23"/>
      <c r="E41" s="23"/>
      <c r="F41" s="23" t="s">
        <v>28</v>
      </c>
      <c r="G41" s="23"/>
      <c r="H41" s="23"/>
      <c r="J41" s="23" t="s">
        <v>28</v>
      </c>
      <c r="K41" s="23"/>
      <c r="L41" s="23"/>
      <c r="M41" s="23"/>
      <c r="O41" s="24"/>
      <c r="P41" s="25" t="str">
        <f t="shared" si="1"/>
        <v>OK</v>
      </c>
    </row>
    <row r="43" spans="2:16" x14ac:dyDescent="0.25">
      <c r="B43" s="18" t="s">
        <v>139</v>
      </c>
      <c r="C43" s="19"/>
      <c r="D43" s="19"/>
      <c r="E43" s="19"/>
      <c r="F43" s="19"/>
      <c r="G43" s="19"/>
      <c r="H43" s="19"/>
      <c r="I43" s="19"/>
      <c r="J43" s="19"/>
      <c r="K43" s="19"/>
      <c r="L43" s="19"/>
      <c r="M43" s="19"/>
      <c r="N43" s="19"/>
      <c r="O43" s="19"/>
      <c r="P43" s="19"/>
    </row>
    <row r="44" spans="2:16" x14ac:dyDescent="0.25">
      <c r="B44" s="20" t="s">
        <v>140</v>
      </c>
      <c r="C44" s="8"/>
      <c r="D44" s="8"/>
      <c r="E44" s="8"/>
      <c r="F44" s="8"/>
      <c r="G44" s="8"/>
      <c r="H44" s="8"/>
      <c r="I44" s="8"/>
      <c r="J44" s="8"/>
      <c r="K44" s="8"/>
      <c r="L44" s="8"/>
      <c r="M44" s="8"/>
      <c r="N44" s="8"/>
      <c r="O44" s="8"/>
      <c r="P44" s="8"/>
    </row>
    <row r="45" spans="2:16" ht="32.25" customHeight="1" x14ac:dyDescent="0.25">
      <c r="B45" s="21" t="s">
        <v>141</v>
      </c>
      <c r="C45" s="22">
        <f ca="1">+CalculosFoda!AD41</f>
        <v>6.9998999999999993</v>
      </c>
      <c r="D45" s="23"/>
      <c r="E45" s="23"/>
      <c r="F45" s="23"/>
      <c r="G45" s="23" t="s">
        <v>28</v>
      </c>
      <c r="H45" s="23"/>
      <c r="J45" s="23" t="s">
        <v>28</v>
      </c>
      <c r="K45" s="23"/>
      <c r="L45" s="23"/>
      <c r="M45" s="23"/>
      <c r="O45" s="24"/>
      <c r="P45" s="25" t="str">
        <f t="shared" ref="P45:P52" si="2">IF(AND(COUNTIF(D45:H45,"x")=1,COUNTIF(J45:M45,"x")=1),"OK",IF(AND(COUNTIF(D45:H45,"x")=0,COUNTIF(J45:M45,"x")=0),"pendiente","revisar"))</f>
        <v>OK</v>
      </c>
    </row>
    <row r="46" spans="2:16" ht="32.25" customHeight="1" x14ac:dyDescent="0.25">
      <c r="B46" s="21" t="s">
        <v>142</v>
      </c>
      <c r="C46" s="22">
        <f ca="1">+CalculosFoda!AD42</f>
        <v>6.9998999999999993</v>
      </c>
      <c r="D46" s="23"/>
      <c r="E46" s="23"/>
      <c r="F46" s="23"/>
      <c r="G46" s="23" t="s">
        <v>28</v>
      </c>
      <c r="H46" s="23"/>
      <c r="J46" s="23"/>
      <c r="K46" s="23"/>
      <c r="L46" s="23"/>
      <c r="M46" s="23" t="s">
        <v>28</v>
      </c>
      <c r="O46" s="24"/>
      <c r="P46" s="25" t="str">
        <f t="shared" si="2"/>
        <v>OK</v>
      </c>
    </row>
    <row r="47" spans="2:16" ht="32.25" customHeight="1" x14ac:dyDescent="0.25">
      <c r="B47" s="21" t="s">
        <v>143</v>
      </c>
      <c r="C47" s="22">
        <f ca="1">+CalculosFoda!AD43</f>
        <v>6.9998999999999993</v>
      </c>
      <c r="D47" s="23"/>
      <c r="E47" s="23"/>
      <c r="F47" s="23"/>
      <c r="G47" s="23" t="s">
        <v>28</v>
      </c>
      <c r="H47" s="23"/>
      <c r="J47" s="23"/>
      <c r="K47" s="23"/>
      <c r="L47" s="23" t="s">
        <v>28</v>
      </c>
      <c r="M47" s="23"/>
      <c r="O47" s="24"/>
      <c r="P47" s="25" t="str">
        <f t="shared" si="2"/>
        <v>OK</v>
      </c>
    </row>
    <row r="48" spans="2:16" ht="45.75" customHeight="1" x14ac:dyDescent="0.25">
      <c r="B48" s="21" t="s">
        <v>144</v>
      </c>
      <c r="C48" s="22">
        <f ca="1">+CalculosFoda!AD44</f>
        <v>4.9999000000000002</v>
      </c>
      <c r="D48" s="23"/>
      <c r="E48" s="23"/>
      <c r="F48" s="23" t="s">
        <v>28</v>
      </c>
      <c r="G48" s="23"/>
      <c r="H48" s="23"/>
      <c r="J48" s="23"/>
      <c r="K48" s="23"/>
      <c r="L48" s="23" t="s">
        <v>28</v>
      </c>
      <c r="M48" s="23"/>
      <c r="O48" s="24"/>
      <c r="P48" s="25" t="str">
        <f t="shared" si="2"/>
        <v>OK</v>
      </c>
    </row>
    <row r="49" spans="2:16" ht="45.75" customHeight="1" x14ac:dyDescent="0.25">
      <c r="B49" s="21" t="s">
        <v>145</v>
      </c>
      <c r="C49" s="22">
        <f ca="1">+CalculosFoda!AD45</f>
        <v>4.9999000000000002</v>
      </c>
      <c r="D49" s="23"/>
      <c r="E49" s="23"/>
      <c r="F49" s="23" t="s">
        <v>28</v>
      </c>
      <c r="G49" s="23"/>
      <c r="H49" s="23"/>
      <c r="J49" s="23"/>
      <c r="K49" s="23"/>
      <c r="L49" s="23"/>
      <c r="M49" s="23" t="s">
        <v>28</v>
      </c>
      <c r="O49" s="24"/>
      <c r="P49" s="25" t="str">
        <f t="shared" si="2"/>
        <v>OK</v>
      </c>
    </row>
    <row r="50" spans="2:16" ht="32.25" customHeight="1" x14ac:dyDescent="0.25">
      <c r="B50" s="21" t="s">
        <v>146</v>
      </c>
      <c r="C50" s="22">
        <f ca="1">+CalculosFoda!AD46</f>
        <v>6.9998999999999993</v>
      </c>
      <c r="D50" s="23"/>
      <c r="E50" s="23"/>
      <c r="F50" s="23"/>
      <c r="G50" s="23" t="s">
        <v>28</v>
      </c>
      <c r="H50" s="23"/>
      <c r="J50" s="23"/>
      <c r="K50" s="23"/>
      <c r="L50" s="23" t="s">
        <v>28</v>
      </c>
      <c r="M50" s="23"/>
      <c r="O50" s="24"/>
      <c r="P50" s="25" t="str">
        <f t="shared" si="2"/>
        <v>OK</v>
      </c>
    </row>
    <row r="51" spans="2:16" ht="45.75" customHeight="1" x14ac:dyDescent="0.25">
      <c r="B51" s="21" t="s">
        <v>147</v>
      </c>
      <c r="C51" s="22">
        <f ca="1">+CalculosFoda!AD47</f>
        <v>4.9999000000000002</v>
      </c>
      <c r="D51" s="23"/>
      <c r="E51" s="23"/>
      <c r="F51" s="23" t="s">
        <v>28</v>
      </c>
      <c r="G51" s="23"/>
      <c r="H51" s="23"/>
      <c r="J51" s="23"/>
      <c r="K51" s="23"/>
      <c r="L51" s="23"/>
      <c r="M51" s="23" t="s">
        <v>28</v>
      </c>
      <c r="O51" s="24"/>
      <c r="P51" s="25" t="str">
        <f t="shared" si="2"/>
        <v>OK</v>
      </c>
    </row>
    <row r="52" spans="2:16" ht="45.75" customHeight="1" x14ac:dyDescent="0.25">
      <c r="B52" s="21" t="s">
        <v>148</v>
      </c>
      <c r="C52" s="22">
        <f ca="1">+CalculosFoda!AD48</f>
        <v>6.9998999999999993</v>
      </c>
      <c r="D52" s="23"/>
      <c r="E52" s="23"/>
      <c r="F52" s="23"/>
      <c r="G52" s="23" t="s">
        <v>28</v>
      </c>
      <c r="H52" s="23"/>
      <c r="J52" s="23"/>
      <c r="K52" s="23"/>
      <c r="L52" s="23"/>
      <c r="M52" s="23" t="s">
        <v>28</v>
      </c>
      <c r="O52" s="24"/>
      <c r="P52" s="25" t="str">
        <f t="shared" si="2"/>
        <v>OK</v>
      </c>
    </row>
    <row r="54" spans="2:16" x14ac:dyDescent="0.25">
      <c r="B54" s="20" t="s">
        <v>149</v>
      </c>
      <c r="C54" s="8"/>
      <c r="D54" s="8"/>
      <c r="E54" s="8"/>
      <c r="F54" s="8"/>
      <c r="G54" s="8"/>
      <c r="H54" s="8"/>
      <c r="I54" s="8"/>
      <c r="J54" s="8"/>
      <c r="K54" s="8"/>
      <c r="L54" s="8"/>
      <c r="M54" s="8"/>
      <c r="N54" s="8"/>
      <c r="O54" s="8"/>
      <c r="P54" s="8"/>
    </row>
    <row r="55" spans="2:16" ht="45.75" customHeight="1" x14ac:dyDescent="0.25">
      <c r="B55" s="21" t="s">
        <v>150</v>
      </c>
      <c r="C55" s="22">
        <f ca="1">+CalculosFoda!AD51</f>
        <v>4.9999000000000002</v>
      </c>
      <c r="D55" s="23"/>
      <c r="E55" s="23"/>
      <c r="F55" s="23" t="s">
        <v>28</v>
      </c>
      <c r="G55" s="23"/>
      <c r="H55" s="23"/>
      <c r="J55" s="23"/>
      <c r="K55" s="23"/>
      <c r="L55" s="23"/>
      <c r="M55" s="23" t="s">
        <v>28</v>
      </c>
      <c r="O55" s="24"/>
      <c r="P55" s="25" t="str">
        <f t="shared" ref="P55:P63" si="3">IF(AND(COUNTIF(D55:H55,"x")=1,COUNTIF(J55:M55,"x")=1),"OK",IF(AND(COUNTIF(D55:H55,"x")=0,COUNTIF(J55:M55,"x")=0),"pendiente","revisar"))</f>
        <v>OK</v>
      </c>
    </row>
    <row r="56" spans="2:16" ht="45.75" customHeight="1" x14ac:dyDescent="0.25">
      <c r="B56" s="21" t="s">
        <v>151</v>
      </c>
      <c r="C56" s="22">
        <f ca="1">+CalculosFoda!AD52</f>
        <v>6.9998999999999993</v>
      </c>
      <c r="D56" s="23"/>
      <c r="E56" s="23"/>
      <c r="F56" s="23"/>
      <c r="G56" s="23" t="s">
        <v>28</v>
      </c>
      <c r="H56" s="23"/>
      <c r="J56" s="23"/>
      <c r="K56" s="23"/>
      <c r="L56" s="23" t="s">
        <v>28</v>
      </c>
      <c r="M56" s="23"/>
      <c r="O56" s="24"/>
      <c r="P56" s="25" t="str">
        <f t="shared" si="3"/>
        <v>OK</v>
      </c>
    </row>
    <row r="57" spans="2:16" ht="45.75" customHeight="1" x14ac:dyDescent="0.25">
      <c r="B57" s="21" t="s">
        <v>152</v>
      </c>
      <c r="C57" s="22">
        <f ca="1">+CalculosFoda!AD53</f>
        <v>6.9998999999999993</v>
      </c>
      <c r="D57" s="23"/>
      <c r="E57" s="23"/>
      <c r="F57" s="23"/>
      <c r="G57" s="23" t="s">
        <v>28</v>
      </c>
      <c r="H57" s="23"/>
      <c r="J57" s="23"/>
      <c r="K57" s="23"/>
      <c r="L57" s="23" t="s">
        <v>28</v>
      </c>
      <c r="M57" s="23"/>
      <c r="O57" s="24"/>
      <c r="P57" s="25" t="str">
        <f t="shared" si="3"/>
        <v>OK</v>
      </c>
    </row>
    <row r="58" spans="2:16" ht="32.25" customHeight="1" x14ac:dyDescent="0.25">
      <c r="B58" s="21" t="s">
        <v>153</v>
      </c>
      <c r="C58" s="22">
        <f ca="1">+CalculosFoda!AD54</f>
        <v>4.9999000000000002</v>
      </c>
      <c r="D58" s="23"/>
      <c r="E58" s="23"/>
      <c r="F58" s="23" t="s">
        <v>28</v>
      </c>
      <c r="G58" s="23"/>
      <c r="H58" s="23"/>
      <c r="J58" s="23"/>
      <c r="K58" s="23"/>
      <c r="L58" s="23"/>
      <c r="M58" s="23" t="s">
        <v>28</v>
      </c>
      <c r="O58" s="24"/>
      <c r="P58" s="25" t="str">
        <f t="shared" si="3"/>
        <v>OK</v>
      </c>
    </row>
    <row r="59" spans="2:16" ht="32.25" customHeight="1" x14ac:dyDescent="0.25">
      <c r="B59" s="21" t="s">
        <v>154</v>
      </c>
      <c r="C59" s="22">
        <f ca="1">+CalculosFoda!AD55</f>
        <v>4.9999000000000002</v>
      </c>
      <c r="D59" s="23"/>
      <c r="E59" s="23"/>
      <c r="F59" s="23" t="s">
        <v>28</v>
      </c>
      <c r="G59" s="23"/>
      <c r="H59" s="23"/>
      <c r="J59" s="23"/>
      <c r="K59" s="23"/>
      <c r="L59" s="23" t="s">
        <v>28</v>
      </c>
      <c r="M59" s="23"/>
      <c r="O59" s="24"/>
      <c r="P59" s="25" t="str">
        <f t="shared" si="3"/>
        <v>OK</v>
      </c>
    </row>
    <row r="60" spans="2:16" ht="32.25" customHeight="1" x14ac:dyDescent="0.25">
      <c r="B60" s="21" t="s">
        <v>155</v>
      </c>
      <c r="C60" s="22">
        <f ca="1">+CalculosFoda!AD56</f>
        <v>6.9998999999999993</v>
      </c>
      <c r="D60" s="23"/>
      <c r="E60" s="23"/>
      <c r="F60" s="23"/>
      <c r="G60" s="23" t="s">
        <v>28</v>
      </c>
      <c r="H60" s="23"/>
      <c r="J60" s="23" t="s">
        <v>28</v>
      </c>
      <c r="K60" s="23"/>
      <c r="L60" s="23"/>
      <c r="M60" s="23"/>
      <c r="O60" s="24"/>
      <c r="P60" s="25" t="str">
        <f t="shared" si="3"/>
        <v>OK</v>
      </c>
    </row>
    <row r="61" spans="2:16" ht="32.25" customHeight="1" x14ac:dyDescent="0.25">
      <c r="B61" s="21" t="s">
        <v>156</v>
      </c>
      <c r="C61" s="22">
        <f ca="1">+CalculosFoda!AD57</f>
        <v>4.9999000000000002</v>
      </c>
      <c r="D61" s="23"/>
      <c r="E61" s="23"/>
      <c r="F61" s="23" t="s">
        <v>28</v>
      </c>
      <c r="G61" s="23"/>
      <c r="H61" s="23"/>
      <c r="J61" s="23"/>
      <c r="K61" s="23"/>
      <c r="L61" s="23" t="s">
        <v>28</v>
      </c>
      <c r="M61" s="23"/>
      <c r="O61" s="24"/>
      <c r="P61" s="25" t="str">
        <f t="shared" si="3"/>
        <v>OK</v>
      </c>
    </row>
    <row r="62" spans="2:16" ht="32.25" customHeight="1" x14ac:dyDescent="0.25">
      <c r="B62" s="21" t="s">
        <v>157</v>
      </c>
      <c r="C62" s="22">
        <f ca="1">+CalculosFoda!AD58</f>
        <v>4.9999000000000002</v>
      </c>
      <c r="D62" s="23"/>
      <c r="E62" s="23"/>
      <c r="F62" s="23" t="s">
        <v>28</v>
      </c>
      <c r="G62" s="23"/>
      <c r="H62" s="23"/>
      <c r="J62" s="23"/>
      <c r="K62" s="23"/>
      <c r="L62" s="23" t="s">
        <v>28</v>
      </c>
      <c r="M62" s="23"/>
      <c r="O62" s="24"/>
      <c r="P62" s="25" t="str">
        <f t="shared" si="3"/>
        <v>OK</v>
      </c>
    </row>
    <row r="63" spans="2:16" ht="32.25" customHeight="1" x14ac:dyDescent="0.25">
      <c r="B63" s="21" t="s">
        <v>158</v>
      </c>
      <c r="C63" s="22">
        <f ca="1">+CalculosFoda!AD59</f>
        <v>2.9999000000000002</v>
      </c>
      <c r="D63" s="23"/>
      <c r="E63" s="23" t="s">
        <v>28</v>
      </c>
      <c r="F63" s="23"/>
      <c r="G63" s="23"/>
      <c r="H63" s="23"/>
      <c r="J63" s="23"/>
      <c r="K63" s="23"/>
      <c r="L63" s="23" t="s">
        <v>28</v>
      </c>
      <c r="M63" s="23"/>
      <c r="O63" s="24"/>
      <c r="P63" s="25" t="str">
        <f t="shared" si="3"/>
        <v>OK</v>
      </c>
    </row>
    <row r="65" spans="2:16" x14ac:dyDescent="0.25">
      <c r="B65" s="20" t="s">
        <v>159</v>
      </c>
      <c r="C65" s="8"/>
      <c r="D65" s="8"/>
      <c r="E65" s="8"/>
      <c r="F65" s="8"/>
      <c r="G65" s="8"/>
      <c r="H65" s="8"/>
      <c r="I65" s="8"/>
      <c r="J65" s="8"/>
      <c r="K65" s="8"/>
      <c r="L65" s="8"/>
      <c r="M65" s="8"/>
      <c r="N65" s="8"/>
      <c r="O65" s="8"/>
      <c r="P65" s="8"/>
    </row>
    <row r="66" spans="2:16" ht="32.25" customHeight="1" x14ac:dyDescent="0.25">
      <c r="B66" s="21" t="s">
        <v>160</v>
      </c>
      <c r="C66" s="22">
        <f ca="1">+CalculosFoda!AD62</f>
        <v>6.9998999999999993</v>
      </c>
      <c r="D66" s="23"/>
      <c r="E66" s="23"/>
      <c r="F66" s="23"/>
      <c r="G66" s="23" t="s">
        <v>28</v>
      </c>
      <c r="H66" s="23"/>
      <c r="J66" s="23"/>
      <c r="K66" s="23"/>
      <c r="L66" s="23" t="s">
        <v>28</v>
      </c>
      <c r="M66" s="23"/>
      <c r="O66" s="24"/>
      <c r="P66" s="25" t="str">
        <f t="shared" ref="P66:P71" si="4">IF(AND(COUNTIF(D66:H66,"x")=1,COUNTIF(J66:M66,"x")=1),"OK",IF(AND(COUNTIF(D66:H66,"x")=0,COUNTIF(J66:M66,"x")=0),"pendiente","revisar"))</f>
        <v>OK</v>
      </c>
    </row>
    <row r="67" spans="2:16" ht="45.75" customHeight="1" x14ac:dyDescent="0.25">
      <c r="B67" s="21" t="s">
        <v>161</v>
      </c>
      <c r="C67" s="22">
        <f ca="1">+CalculosFoda!AD63</f>
        <v>2.9999000000000002</v>
      </c>
      <c r="D67" s="23"/>
      <c r="E67" s="23" t="s">
        <v>28</v>
      </c>
      <c r="F67" s="23"/>
      <c r="G67" s="23"/>
      <c r="H67" s="23"/>
      <c r="J67" s="23"/>
      <c r="K67" s="23"/>
      <c r="L67" s="23"/>
      <c r="M67" s="23" t="s">
        <v>28</v>
      </c>
      <c r="O67" s="24"/>
      <c r="P67" s="25" t="str">
        <f t="shared" si="4"/>
        <v>OK</v>
      </c>
    </row>
    <row r="68" spans="2:16" ht="32.25" customHeight="1" x14ac:dyDescent="0.25">
      <c r="B68" s="21" t="s">
        <v>162</v>
      </c>
      <c r="C68" s="22">
        <f ca="1">+CalculosFoda!AD64</f>
        <v>4.9999000000000002</v>
      </c>
      <c r="D68" s="23"/>
      <c r="E68" s="23"/>
      <c r="F68" s="23" t="s">
        <v>28</v>
      </c>
      <c r="G68" s="23"/>
      <c r="H68" s="23"/>
      <c r="J68" s="23"/>
      <c r="K68" s="23"/>
      <c r="L68" s="23" t="s">
        <v>28</v>
      </c>
      <c r="M68" s="23"/>
      <c r="O68" s="24"/>
      <c r="P68" s="25" t="str">
        <f t="shared" si="4"/>
        <v>OK</v>
      </c>
    </row>
    <row r="69" spans="2:16" ht="45.75" customHeight="1" x14ac:dyDescent="0.25">
      <c r="B69" s="21" t="s">
        <v>163</v>
      </c>
      <c r="C69" s="22">
        <f ca="1">+CalculosFoda!AD65</f>
        <v>9.9998499999999986</v>
      </c>
      <c r="D69" s="23"/>
      <c r="E69" s="23"/>
      <c r="F69" s="23"/>
      <c r="G69" s="23"/>
      <c r="H69" s="23" t="s">
        <v>28</v>
      </c>
      <c r="J69" s="23"/>
      <c r="K69" s="23"/>
      <c r="L69" s="23" t="s">
        <v>28</v>
      </c>
      <c r="M69" s="23"/>
      <c r="O69" s="24"/>
      <c r="P69" s="25" t="str">
        <f t="shared" si="4"/>
        <v>OK</v>
      </c>
    </row>
    <row r="70" spans="2:16" ht="45.75" customHeight="1" x14ac:dyDescent="0.25">
      <c r="B70" s="21" t="s">
        <v>164</v>
      </c>
      <c r="C70" s="22">
        <f ca="1">+CalculosFoda!AD66</f>
        <v>2.9999000000000002</v>
      </c>
      <c r="D70" s="23"/>
      <c r="E70" s="23" t="s">
        <v>28</v>
      </c>
      <c r="F70" s="23"/>
      <c r="G70" s="23"/>
      <c r="H70" s="23"/>
      <c r="J70" s="23"/>
      <c r="K70" s="23"/>
      <c r="L70" s="23"/>
      <c r="M70" s="23" t="s">
        <v>28</v>
      </c>
      <c r="O70" s="24"/>
      <c r="P70" s="25" t="str">
        <f t="shared" si="4"/>
        <v>OK</v>
      </c>
    </row>
    <row r="71" spans="2:16" ht="45.75" customHeight="1" x14ac:dyDescent="0.25">
      <c r="B71" s="21" t="s">
        <v>165</v>
      </c>
      <c r="C71" s="22">
        <f ca="1">+CalculosFoda!AD67</f>
        <v>9.9998499999999986</v>
      </c>
      <c r="D71" s="23"/>
      <c r="E71" s="23"/>
      <c r="F71" s="23"/>
      <c r="G71" s="23"/>
      <c r="H71" s="23" t="s">
        <v>28</v>
      </c>
      <c r="J71" s="23"/>
      <c r="K71" s="23"/>
      <c r="L71" s="23"/>
      <c r="M71" s="23" t="s">
        <v>28</v>
      </c>
      <c r="O71" s="24"/>
      <c r="P71" s="25" t="str">
        <f t="shared" si="4"/>
        <v>OK</v>
      </c>
    </row>
    <row r="73" spans="2:16" x14ac:dyDescent="0.25">
      <c r="B73" s="20" t="s">
        <v>166</v>
      </c>
      <c r="C73" s="8"/>
      <c r="D73" s="8"/>
      <c r="E73" s="8"/>
      <c r="F73" s="8"/>
      <c r="G73" s="8"/>
      <c r="H73" s="8"/>
      <c r="I73" s="8"/>
      <c r="J73" s="8"/>
      <c r="K73" s="8"/>
      <c r="L73" s="8"/>
      <c r="M73" s="8"/>
      <c r="N73" s="8"/>
      <c r="O73" s="8"/>
      <c r="P73" s="8"/>
    </row>
    <row r="74" spans="2:16" ht="32.25" customHeight="1" x14ac:dyDescent="0.25">
      <c r="B74" s="21" t="s">
        <v>167</v>
      </c>
      <c r="C74" s="22">
        <f ca="1">+CalculosFoda!AD70</f>
        <v>6.9998999999999993</v>
      </c>
      <c r="D74" s="23"/>
      <c r="E74" s="23"/>
      <c r="F74" s="23"/>
      <c r="G74" s="23" t="s">
        <v>28</v>
      </c>
      <c r="H74" s="23"/>
      <c r="J74" s="23"/>
      <c r="K74" s="23"/>
      <c r="L74" s="23" t="s">
        <v>28</v>
      </c>
      <c r="M74" s="23"/>
      <c r="O74" s="24"/>
      <c r="P74" s="25" t="str">
        <f t="shared" ref="P74:P79" si="5">IF(AND(COUNTIF(D74:H74,"x")=1,COUNTIF(J74:M74,"x")=1),"OK",IF(AND(COUNTIF(D74:H74,"x")=0,COUNTIF(J74:M74,"x")=0),"pendiente","revisar"))</f>
        <v>OK</v>
      </c>
    </row>
    <row r="75" spans="2:16" ht="32.25" customHeight="1" x14ac:dyDescent="0.25">
      <c r="B75" s="21" t="s">
        <v>168</v>
      </c>
      <c r="C75" s="22">
        <f ca="1">+CalculosFoda!AD71</f>
        <v>0.99994999999999989</v>
      </c>
      <c r="D75" s="23" t="s">
        <v>28</v>
      </c>
      <c r="E75" s="23"/>
      <c r="F75" s="23"/>
      <c r="G75" s="23"/>
      <c r="H75" s="23"/>
      <c r="J75" s="23"/>
      <c r="K75" s="23"/>
      <c r="L75" s="23"/>
      <c r="M75" s="23" t="s">
        <v>28</v>
      </c>
      <c r="O75" s="24"/>
      <c r="P75" s="25" t="str">
        <f t="shared" si="5"/>
        <v>OK</v>
      </c>
    </row>
    <row r="76" spans="2:16" ht="45.75" customHeight="1" x14ac:dyDescent="0.25">
      <c r="B76" s="21" t="s">
        <v>169</v>
      </c>
      <c r="C76" s="22">
        <f ca="1">+CalculosFoda!AD72</f>
        <v>6.9998999999999993</v>
      </c>
      <c r="D76" s="23"/>
      <c r="E76" s="23"/>
      <c r="F76" s="23"/>
      <c r="G76" s="23" t="s">
        <v>28</v>
      </c>
      <c r="H76" s="23"/>
      <c r="J76" s="23"/>
      <c r="K76" s="23"/>
      <c r="L76" s="23"/>
      <c r="M76" s="23" t="s">
        <v>28</v>
      </c>
      <c r="O76" s="24"/>
      <c r="P76" s="25" t="str">
        <f t="shared" si="5"/>
        <v>OK</v>
      </c>
    </row>
    <row r="77" spans="2:16" ht="32.25" customHeight="1" x14ac:dyDescent="0.25">
      <c r="B77" s="21" t="s">
        <v>170</v>
      </c>
      <c r="C77" s="22">
        <f ca="1">+CalculosFoda!AD73</f>
        <v>4.9999000000000002</v>
      </c>
      <c r="D77" s="23"/>
      <c r="E77" s="23"/>
      <c r="F77" s="23" t="s">
        <v>28</v>
      </c>
      <c r="G77" s="23"/>
      <c r="H77" s="23"/>
      <c r="J77" s="23"/>
      <c r="K77" s="23"/>
      <c r="L77" s="23" t="s">
        <v>28</v>
      </c>
      <c r="M77" s="23"/>
      <c r="O77" s="24"/>
      <c r="P77" s="25" t="str">
        <f t="shared" si="5"/>
        <v>OK</v>
      </c>
    </row>
    <row r="78" spans="2:16" ht="45.75" customHeight="1" x14ac:dyDescent="0.25">
      <c r="B78" s="21" t="s">
        <v>171</v>
      </c>
      <c r="C78" s="22">
        <f ca="1">+CalculosFoda!AD74</f>
        <v>4.9999000000000002</v>
      </c>
      <c r="D78" s="23"/>
      <c r="E78" s="23"/>
      <c r="F78" s="23" t="s">
        <v>28</v>
      </c>
      <c r="G78" s="23"/>
      <c r="H78" s="23"/>
      <c r="J78" s="23"/>
      <c r="K78" s="23"/>
      <c r="L78" s="23" t="s">
        <v>28</v>
      </c>
      <c r="M78" s="23"/>
      <c r="O78" s="24"/>
      <c r="P78" s="25" t="str">
        <f t="shared" si="5"/>
        <v>OK</v>
      </c>
    </row>
    <row r="79" spans="2:16" ht="32.25" customHeight="1" x14ac:dyDescent="0.25">
      <c r="B79" s="21" t="s">
        <v>172</v>
      </c>
      <c r="C79" s="22">
        <f ca="1">+CalculosFoda!AD75</f>
        <v>9.9998499999999986</v>
      </c>
      <c r="D79" s="23"/>
      <c r="E79" s="23"/>
      <c r="F79" s="23"/>
      <c r="G79" s="23"/>
      <c r="H79" s="23" t="s">
        <v>28</v>
      </c>
      <c r="J79" s="23"/>
      <c r="K79" s="23"/>
      <c r="L79" s="23" t="s">
        <v>28</v>
      </c>
      <c r="M79" s="23"/>
      <c r="O79" s="24"/>
      <c r="P79" s="25" t="str">
        <f t="shared" si="5"/>
        <v>OK</v>
      </c>
    </row>
    <row r="81" spans="2:16" x14ac:dyDescent="0.25">
      <c r="B81" s="18" t="s">
        <v>173</v>
      </c>
      <c r="C81" s="19"/>
      <c r="D81" s="19"/>
      <c r="E81" s="19"/>
      <c r="F81" s="19"/>
      <c r="G81" s="19"/>
      <c r="H81" s="19"/>
      <c r="I81" s="19"/>
      <c r="J81" s="19"/>
      <c r="K81" s="19"/>
      <c r="L81" s="19"/>
      <c r="M81" s="19"/>
      <c r="N81" s="19"/>
      <c r="O81" s="19"/>
      <c r="P81" s="19"/>
    </row>
    <row r="82" spans="2:16" x14ac:dyDescent="0.25">
      <c r="B82" s="20" t="s">
        <v>174</v>
      </c>
      <c r="C82" s="8"/>
      <c r="D82" s="8"/>
      <c r="E82" s="8"/>
      <c r="F82" s="8"/>
      <c r="G82" s="8"/>
      <c r="H82" s="8"/>
      <c r="I82" s="8"/>
      <c r="J82" s="8"/>
      <c r="K82" s="8"/>
      <c r="L82" s="8"/>
      <c r="M82" s="8"/>
      <c r="N82" s="8"/>
      <c r="O82" s="8"/>
      <c r="P82" s="8"/>
    </row>
    <row r="83" spans="2:16" ht="32.25" customHeight="1" x14ac:dyDescent="0.25">
      <c r="B83" s="21" t="s">
        <v>175</v>
      </c>
      <c r="C83" s="22">
        <f ca="1">+CalculosFoda!AD78</f>
        <v>4.9999000000000002</v>
      </c>
      <c r="D83" s="23"/>
      <c r="E83" s="23"/>
      <c r="F83" s="23" t="s">
        <v>28</v>
      </c>
      <c r="G83" s="23"/>
      <c r="H83" s="23"/>
      <c r="J83" s="23"/>
      <c r="K83" s="23"/>
      <c r="L83" s="23" t="s">
        <v>28</v>
      </c>
      <c r="M83" s="23"/>
      <c r="O83" s="24"/>
      <c r="P83" s="25" t="str">
        <f t="shared" ref="P83:P89" si="6">IF(AND(COUNTIF(D83:H83,"x")=1,COUNTIF(J83:M83,"x")=1),"OK",IF(AND(COUNTIF(D83:H83,"x")=0,COUNTIF(J83:M83,"x")=0),"pendiente","revisar"))</f>
        <v>OK</v>
      </c>
    </row>
    <row r="84" spans="2:16" ht="32.25" customHeight="1" x14ac:dyDescent="0.25">
      <c r="B84" s="21" t="s">
        <v>176</v>
      </c>
      <c r="C84" s="22">
        <f ca="1">+CalculosFoda!AD79</f>
        <v>2.9999000000000002</v>
      </c>
      <c r="D84" s="23"/>
      <c r="E84" s="23" t="s">
        <v>28</v>
      </c>
      <c r="F84" s="23"/>
      <c r="G84" s="23"/>
      <c r="H84" s="23"/>
      <c r="J84" s="23"/>
      <c r="K84" s="23"/>
      <c r="L84" s="23" t="s">
        <v>28</v>
      </c>
      <c r="M84" s="23"/>
      <c r="O84" s="24"/>
      <c r="P84" s="25" t="str">
        <f t="shared" si="6"/>
        <v>OK</v>
      </c>
    </row>
    <row r="85" spans="2:16" ht="45.75" customHeight="1" x14ac:dyDescent="0.25">
      <c r="B85" s="21" t="s">
        <v>177</v>
      </c>
      <c r="C85" s="22">
        <f ca="1">+CalculosFoda!AD80</f>
        <v>2.9999000000000002</v>
      </c>
      <c r="D85" s="23"/>
      <c r="E85" s="23" t="s">
        <v>28</v>
      </c>
      <c r="F85" s="23"/>
      <c r="G85" s="23"/>
      <c r="H85" s="23"/>
      <c r="J85" s="23"/>
      <c r="K85" s="23"/>
      <c r="L85" s="23"/>
      <c r="M85" s="23" t="s">
        <v>28</v>
      </c>
      <c r="O85" s="24"/>
      <c r="P85" s="25" t="str">
        <f t="shared" si="6"/>
        <v>OK</v>
      </c>
    </row>
    <row r="86" spans="2:16" ht="32.25" customHeight="1" x14ac:dyDescent="0.25">
      <c r="B86" s="21" t="s">
        <v>178</v>
      </c>
      <c r="C86" s="22">
        <f ca="1">+CalculosFoda!AD81</f>
        <v>6.9998999999999993</v>
      </c>
      <c r="D86" s="23"/>
      <c r="E86" s="23"/>
      <c r="F86" s="23"/>
      <c r="G86" s="23" t="s">
        <v>28</v>
      </c>
      <c r="H86" s="23"/>
      <c r="J86" s="23"/>
      <c r="K86" s="23"/>
      <c r="L86" s="23" t="s">
        <v>28</v>
      </c>
      <c r="M86" s="23"/>
      <c r="O86" s="24"/>
      <c r="P86" s="25" t="str">
        <f t="shared" si="6"/>
        <v>OK</v>
      </c>
    </row>
    <row r="87" spans="2:16" ht="45.75" customHeight="1" x14ac:dyDescent="0.25">
      <c r="B87" s="21" t="s">
        <v>179</v>
      </c>
      <c r="C87" s="22">
        <f ca="1">+CalculosFoda!AD82</f>
        <v>4.9999000000000002</v>
      </c>
      <c r="D87" s="23"/>
      <c r="E87" s="23"/>
      <c r="F87" s="23" t="s">
        <v>28</v>
      </c>
      <c r="G87" s="23"/>
      <c r="H87" s="23"/>
      <c r="J87" s="23"/>
      <c r="K87" s="23"/>
      <c r="L87" s="23" t="s">
        <v>28</v>
      </c>
      <c r="M87" s="23"/>
      <c r="O87" s="24"/>
      <c r="P87" s="25" t="str">
        <f t="shared" si="6"/>
        <v>OK</v>
      </c>
    </row>
    <row r="88" spans="2:16" ht="45.75" customHeight="1" x14ac:dyDescent="0.25">
      <c r="B88" s="21" t="s">
        <v>180</v>
      </c>
      <c r="C88" s="22">
        <f ca="1">+CalculosFoda!AD83</f>
        <v>2.9999000000000002</v>
      </c>
      <c r="D88" s="23"/>
      <c r="E88" s="23" t="s">
        <v>28</v>
      </c>
      <c r="F88" s="23"/>
      <c r="G88" s="23"/>
      <c r="H88" s="23"/>
      <c r="J88" s="23"/>
      <c r="K88" s="23"/>
      <c r="L88" s="23"/>
      <c r="M88" s="23" t="s">
        <v>28</v>
      </c>
      <c r="O88" s="24"/>
      <c r="P88" s="25" t="str">
        <f t="shared" si="6"/>
        <v>OK</v>
      </c>
    </row>
    <row r="89" spans="2:16" ht="45.75" customHeight="1" x14ac:dyDescent="0.25">
      <c r="B89" s="21" t="s">
        <v>181</v>
      </c>
      <c r="C89" s="22">
        <f ca="1">+CalculosFoda!AD84</f>
        <v>0.99994999999999989</v>
      </c>
      <c r="D89" s="23" t="s">
        <v>28</v>
      </c>
      <c r="E89" s="23"/>
      <c r="F89" s="23"/>
      <c r="G89" s="23"/>
      <c r="H89" s="23"/>
      <c r="J89" s="23"/>
      <c r="K89" s="23"/>
      <c r="L89" s="23" t="s">
        <v>28</v>
      </c>
      <c r="M89" s="23"/>
      <c r="O89" s="24"/>
      <c r="P89" s="25" t="str">
        <f t="shared" si="6"/>
        <v>OK</v>
      </c>
    </row>
    <row r="91" spans="2:16" x14ac:dyDescent="0.25">
      <c r="B91" s="18" t="s">
        <v>182</v>
      </c>
      <c r="C91" s="19"/>
      <c r="D91" s="19"/>
      <c r="E91" s="19"/>
      <c r="F91" s="19"/>
      <c r="G91" s="19"/>
      <c r="H91" s="19"/>
      <c r="I91" s="19"/>
      <c r="J91" s="19"/>
      <c r="K91" s="19"/>
      <c r="L91" s="19"/>
      <c r="M91" s="19"/>
      <c r="N91" s="19"/>
      <c r="O91" s="19"/>
      <c r="P91" s="19"/>
    </row>
    <row r="92" spans="2:16" x14ac:dyDescent="0.25">
      <c r="B92" s="20" t="s">
        <v>183</v>
      </c>
      <c r="C92" s="8"/>
      <c r="D92" s="8"/>
      <c r="E92" s="8"/>
      <c r="F92" s="8"/>
      <c r="G92" s="8"/>
      <c r="H92" s="8"/>
      <c r="I92" s="8"/>
      <c r="J92" s="8"/>
      <c r="K92" s="8"/>
      <c r="L92" s="8"/>
      <c r="M92" s="8"/>
      <c r="N92" s="8"/>
      <c r="O92" s="8"/>
      <c r="P92" s="8"/>
    </row>
    <row r="93" spans="2:16" ht="45.75" customHeight="1" x14ac:dyDescent="0.25">
      <c r="B93" s="21" t="s">
        <v>184</v>
      </c>
      <c r="C93" s="22">
        <f ca="1">+CalculosFoda!AD87</f>
        <v>4.9999000000000002</v>
      </c>
      <c r="D93" s="23"/>
      <c r="E93" s="23"/>
      <c r="F93" s="23" t="s">
        <v>28</v>
      </c>
      <c r="G93" s="23"/>
      <c r="H93" s="23"/>
      <c r="J93" s="23"/>
      <c r="K93" s="23"/>
      <c r="L93" s="23" t="s">
        <v>28</v>
      </c>
      <c r="M93" s="23"/>
      <c r="O93" s="24"/>
      <c r="P93" s="25" t="str">
        <f t="shared" ref="P93:P98" si="7">IF(AND(COUNTIF(D93:H93,"x")=1,COUNTIF(J93:M93,"x")=1),"OK",IF(AND(COUNTIF(D93:H93,"x")=0,COUNTIF(J93:M93,"x")=0),"pendiente","revisar"))</f>
        <v>OK</v>
      </c>
    </row>
    <row r="94" spans="2:16" ht="45.75" customHeight="1" x14ac:dyDescent="0.25">
      <c r="B94" s="21" t="s">
        <v>185</v>
      </c>
      <c r="C94" s="22">
        <f ca="1">+CalculosFoda!AD88</f>
        <v>4.9999000000000002</v>
      </c>
      <c r="D94" s="23"/>
      <c r="E94" s="23"/>
      <c r="F94" s="23" t="s">
        <v>28</v>
      </c>
      <c r="G94" s="23"/>
      <c r="H94" s="23"/>
      <c r="J94" s="23"/>
      <c r="K94" s="23"/>
      <c r="L94" s="23"/>
      <c r="M94" s="23" t="s">
        <v>28</v>
      </c>
      <c r="O94" s="24"/>
      <c r="P94" s="25" t="str">
        <f t="shared" si="7"/>
        <v>OK</v>
      </c>
    </row>
    <row r="95" spans="2:16" ht="45.75" customHeight="1" x14ac:dyDescent="0.25">
      <c r="B95" s="21" t="s">
        <v>186</v>
      </c>
      <c r="C95" s="22">
        <f ca="1">+CalculosFoda!AD89</f>
        <v>6.9998999999999993</v>
      </c>
      <c r="D95" s="23"/>
      <c r="E95" s="23"/>
      <c r="F95" s="23"/>
      <c r="G95" s="23" t="s">
        <v>28</v>
      </c>
      <c r="H95" s="23"/>
      <c r="J95" s="23"/>
      <c r="K95" s="23"/>
      <c r="L95" s="23"/>
      <c r="M95" s="23" t="s">
        <v>28</v>
      </c>
      <c r="O95" s="24"/>
      <c r="P95" s="25" t="str">
        <f t="shared" si="7"/>
        <v>OK</v>
      </c>
    </row>
    <row r="96" spans="2:16" ht="32.25" customHeight="1" x14ac:dyDescent="0.25">
      <c r="B96" s="21" t="s">
        <v>187</v>
      </c>
      <c r="C96" s="22">
        <f ca="1">+CalculosFoda!AD90</f>
        <v>2.9999000000000002</v>
      </c>
      <c r="D96" s="23"/>
      <c r="E96" s="23" t="s">
        <v>28</v>
      </c>
      <c r="F96" s="23"/>
      <c r="G96" s="23"/>
      <c r="H96" s="23"/>
      <c r="J96" s="23"/>
      <c r="K96" s="23" t="s">
        <v>28</v>
      </c>
      <c r="L96" s="23"/>
      <c r="M96" s="23"/>
      <c r="O96" s="24"/>
      <c r="P96" s="25" t="str">
        <f t="shared" si="7"/>
        <v>OK</v>
      </c>
    </row>
    <row r="97" spans="2:16" ht="45.75" customHeight="1" x14ac:dyDescent="0.25">
      <c r="B97" s="21" t="s">
        <v>188</v>
      </c>
      <c r="C97" s="22">
        <f ca="1">+CalculosFoda!AD91</f>
        <v>4.9999000000000002</v>
      </c>
      <c r="D97" s="23"/>
      <c r="E97" s="23"/>
      <c r="F97" s="23" t="s">
        <v>28</v>
      </c>
      <c r="G97" s="23"/>
      <c r="H97" s="23"/>
      <c r="J97" s="23"/>
      <c r="K97" s="23"/>
      <c r="L97" s="23"/>
      <c r="M97" s="23" t="s">
        <v>28</v>
      </c>
      <c r="O97" s="24"/>
      <c r="P97" s="25" t="str">
        <f t="shared" si="7"/>
        <v>OK</v>
      </c>
    </row>
    <row r="98" spans="2:16" ht="45.75" customHeight="1" x14ac:dyDescent="0.25">
      <c r="B98" s="21" t="s">
        <v>189</v>
      </c>
      <c r="C98" s="22">
        <f ca="1">+CalculosFoda!AD92</f>
        <v>6.9998999999999993</v>
      </c>
      <c r="D98" s="23"/>
      <c r="E98" s="23"/>
      <c r="F98" s="23"/>
      <c r="G98" s="23" t="s">
        <v>28</v>
      </c>
      <c r="H98" s="23"/>
      <c r="J98" s="23"/>
      <c r="K98" s="23"/>
      <c r="L98" s="23"/>
      <c r="M98" s="23" t="s">
        <v>28</v>
      </c>
      <c r="O98" s="24"/>
      <c r="P98" s="25" t="str">
        <f t="shared" si="7"/>
        <v>OK</v>
      </c>
    </row>
    <row r="100" spans="2:16" x14ac:dyDescent="0.25">
      <c r="B100" s="20" t="s">
        <v>190</v>
      </c>
      <c r="C100" s="8"/>
      <c r="D100" s="8"/>
      <c r="E100" s="8"/>
      <c r="F100" s="8"/>
      <c r="G100" s="8"/>
      <c r="H100" s="8"/>
      <c r="I100" s="8"/>
      <c r="J100" s="8"/>
      <c r="K100" s="8"/>
      <c r="L100" s="8"/>
      <c r="M100" s="8"/>
      <c r="N100" s="8"/>
      <c r="O100" s="8"/>
      <c r="P100" s="8"/>
    </row>
    <row r="101" spans="2:16" ht="45.75" customHeight="1" x14ac:dyDescent="0.25">
      <c r="B101" s="21" t="s">
        <v>191</v>
      </c>
      <c r="C101" s="22">
        <f ca="1">+CalculosFoda!AD95</f>
        <v>2.9999000000000002</v>
      </c>
      <c r="D101" s="23"/>
      <c r="E101" s="23" t="s">
        <v>28</v>
      </c>
      <c r="F101" s="23"/>
      <c r="G101" s="23"/>
      <c r="H101" s="23"/>
      <c r="J101" s="23"/>
      <c r="K101" s="23"/>
      <c r="L101" s="23"/>
      <c r="M101" s="23" t="s">
        <v>28</v>
      </c>
      <c r="O101" s="24"/>
      <c r="P101" s="25" t="str">
        <f t="shared" ref="P101:P108" si="8">IF(AND(COUNTIF(D101:H101,"x")=1,COUNTIF(J101:M101,"x")=1),"OK",IF(AND(COUNTIF(D101:H101,"x")=0,COUNTIF(J101:M101,"x")=0),"pendiente","revisar"))</f>
        <v>OK</v>
      </c>
    </row>
    <row r="102" spans="2:16" ht="45.75" customHeight="1" x14ac:dyDescent="0.25">
      <c r="B102" s="21" t="s">
        <v>192</v>
      </c>
      <c r="C102" s="22">
        <f ca="1">+CalculosFoda!AD96</f>
        <v>4.9999000000000002</v>
      </c>
      <c r="D102" s="23"/>
      <c r="E102" s="23"/>
      <c r="F102" s="23" t="s">
        <v>28</v>
      </c>
      <c r="G102" s="23"/>
      <c r="H102" s="23"/>
      <c r="J102" s="23"/>
      <c r="K102" s="23"/>
      <c r="L102" s="23"/>
      <c r="M102" s="23" t="s">
        <v>28</v>
      </c>
      <c r="O102" s="24"/>
      <c r="P102" s="25" t="str">
        <f t="shared" si="8"/>
        <v>OK</v>
      </c>
    </row>
    <row r="103" spans="2:16" ht="32.25" customHeight="1" x14ac:dyDescent="0.25">
      <c r="B103" s="21" t="s">
        <v>193</v>
      </c>
      <c r="C103" s="22">
        <f ca="1">+CalculosFoda!AD97</f>
        <v>4.9999000000000002</v>
      </c>
      <c r="D103" s="23"/>
      <c r="E103" s="23"/>
      <c r="F103" s="23" t="s">
        <v>28</v>
      </c>
      <c r="G103" s="23"/>
      <c r="H103" s="23"/>
      <c r="J103" s="23"/>
      <c r="K103" s="23"/>
      <c r="L103" s="23" t="s">
        <v>28</v>
      </c>
      <c r="M103" s="23"/>
      <c r="O103" s="24"/>
      <c r="P103" s="25" t="str">
        <f t="shared" si="8"/>
        <v>OK</v>
      </c>
    </row>
    <row r="104" spans="2:16" ht="32.25" customHeight="1" x14ac:dyDescent="0.25">
      <c r="B104" s="21" t="s">
        <v>194</v>
      </c>
      <c r="C104" s="22">
        <f ca="1">+CalculosFoda!AD98</f>
        <v>0.99994999999999989</v>
      </c>
      <c r="D104" s="23" t="s">
        <v>28</v>
      </c>
      <c r="E104" s="23"/>
      <c r="F104" s="23"/>
      <c r="G104" s="23"/>
      <c r="H104" s="23"/>
      <c r="J104" s="23"/>
      <c r="K104" s="23"/>
      <c r="L104" s="23" t="s">
        <v>28</v>
      </c>
      <c r="M104" s="23"/>
      <c r="O104" s="24"/>
      <c r="P104" s="25" t="str">
        <f t="shared" si="8"/>
        <v>OK</v>
      </c>
    </row>
    <row r="105" spans="2:16" ht="45.75" customHeight="1" x14ac:dyDescent="0.25">
      <c r="B105" s="21" t="s">
        <v>195</v>
      </c>
      <c r="C105" s="22">
        <f ca="1">+CalculosFoda!AD99</f>
        <v>4.9999000000000002</v>
      </c>
      <c r="D105" s="23"/>
      <c r="E105" s="23"/>
      <c r="F105" s="23" t="s">
        <v>28</v>
      </c>
      <c r="G105" s="23"/>
      <c r="H105" s="23"/>
      <c r="J105" s="23"/>
      <c r="K105" s="23" t="s">
        <v>28</v>
      </c>
      <c r="L105" s="23"/>
      <c r="M105" s="23"/>
      <c r="O105" s="24"/>
      <c r="P105" s="25" t="str">
        <f t="shared" si="8"/>
        <v>OK</v>
      </c>
    </row>
    <row r="106" spans="2:16" ht="45.75" customHeight="1" x14ac:dyDescent="0.25">
      <c r="B106" s="21" t="s">
        <v>196</v>
      </c>
      <c r="C106" s="22">
        <f ca="1">+CalculosFoda!AD100</f>
        <v>2.9999000000000002</v>
      </c>
      <c r="D106" s="23"/>
      <c r="E106" s="23" t="s">
        <v>28</v>
      </c>
      <c r="F106" s="23"/>
      <c r="G106" s="23"/>
      <c r="H106" s="23"/>
      <c r="J106" s="23" t="s">
        <v>28</v>
      </c>
      <c r="K106" s="23"/>
      <c r="L106" s="23"/>
      <c r="M106" s="23"/>
      <c r="O106" s="24"/>
      <c r="P106" s="25" t="str">
        <f t="shared" si="8"/>
        <v>OK</v>
      </c>
    </row>
    <row r="107" spans="2:16" ht="45.75" customHeight="1" x14ac:dyDescent="0.25">
      <c r="B107" s="21" t="s">
        <v>197</v>
      </c>
      <c r="C107" s="22">
        <f ca="1">+CalculosFoda!AD101</f>
        <v>6.9998999999999993</v>
      </c>
      <c r="D107" s="23"/>
      <c r="E107" s="23"/>
      <c r="F107" s="23"/>
      <c r="G107" s="23" t="s">
        <v>28</v>
      </c>
      <c r="H107" s="23"/>
      <c r="J107" s="23"/>
      <c r="K107" s="23" t="s">
        <v>28</v>
      </c>
      <c r="L107" s="23"/>
      <c r="M107" s="23"/>
      <c r="O107" s="24"/>
      <c r="P107" s="25" t="str">
        <f t="shared" si="8"/>
        <v>OK</v>
      </c>
    </row>
    <row r="108" spans="2:16" ht="32.25" customHeight="1" x14ac:dyDescent="0.25">
      <c r="B108" s="21" t="s">
        <v>198</v>
      </c>
      <c r="C108" s="22">
        <f ca="1">+CalculosFoda!AD102</f>
        <v>6.9998999999999993</v>
      </c>
      <c r="D108" s="23"/>
      <c r="E108" s="23"/>
      <c r="F108" s="23"/>
      <c r="G108" s="23" t="s">
        <v>28</v>
      </c>
      <c r="H108" s="23"/>
      <c r="J108" s="23"/>
      <c r="K108" s="23"/>
      <c r="L108" s="23" t="s">
        <v>28</v>
      </c>
      <c r="M108" s="23"/>
      <c r="O108" s="24"/>
      <c r="P108" s="25" t="str">
        <f t="shared" si="8"/>
        <v>OK</v>
      </c>
    </row>
    <row r="110" spans="2:16" x14ac:dyDescent="0.25">
      <c r="B110" s="20" t="s">
        <v>199</v>
      </c>
      <c r="C110" s="8"/>
      <c r="D110" s="8"/>
      <c r="E110" s="8"/>
      <c r="F110" s="8"/>
      <c r="G110" s="8"/>
      <c r="H110" s="8"/>
      <c r="I110" s="8"/>
      <c r="J110" s="8"/>
      <c r="K110" s="8"/>
      <c r="L110" s="8"/>
      <c r="M110" s="8"/>
      <c r="N110" s="8"/>
      <c r="O110" s="8"/>
      <c r="P110" s="8"/>
    </row>
    <row r="111" spans="2:16" ht="32.25" customHeight="1" x14ac:dyDescent="0.25">
      <c r="B111" s="21" t="s">
        <v>200</v>
      </c>
      <c r="C111" s="22">
        <f ca="1">+CalculosFoda!AD105</f>
        <v>4.9999000000000002</v>
      </c>
      <c r="D111" s="23"/>
      <c r="E111" s="23"/>
      <c r="F111" s="23" t="s">
        <v>28</v>
      </c>
      <c r="G111" s="23"/>
      <c r="H111" s="23"/>
      <c r="J111" s="23" t="s">
        <v>28</v>
      </c>
      <c r="K111" s="23"/>
      <c r="L111" s="23"/>
      <c r="M111" s="23"/>
      <c r="O111" s="24"/>
      <c r="P111" s="25" t="str">
        <f>IF(AND(COUNTIF(D111:H111,"x")=1,COUNTIF(J111:M111,"x")=1),"OK",IF(AND(COUNTIF(D111:H111,"x")=0,COUNTIF(J111:M111,"x")=0),"pendiente","revisar"))</f>
        <v>OK</v>
      </c>
    </row>
    <row r="112" spans="2:16" ht="32.25" customHeight="1" x14ac:dyDescent="0.25">
      <c r="B112" s="21" t="s">
        <v>201</v>
      </c>
      <c r="C112" s="22">
        <f ca="1">+CalculosFoda!AD106</f>
        <v>9.9998499999999986</v>
      </c>
      <c r="D112" s="23"/>
      <c r="E112" s="23"/>
      <c r="F112" s="23"/>
      <c r="G112" s="23"/>
      <c r="H112" s="23" t="s">
        <v>28</v>
      </c>
      <c r="J112" s="23"/>
      <c r="K112" s="23"/>
      <c r="L112" s="23" t="s">
        <v>28</v>
      </c>
      <c r="M112" s="23"/>
      <c r="O112" s="24"/>
      <c r="P112" s="25" t="str">
        <f>IF(AND(COUNTIF(D112:H112,"x")=1,COUNTIF(J112:M112,"x")=1),"OK",IF(AND(COUNTIF(D112:H112,"x")=0,COUNTIF(J112:M112,"x")=0),"pendiente","revisar"))</f>
        <v>OK</v>
      </c>
    </row>
    <row r="113" spans="2:16" ht="45.75" customHeight="1" x14ac:dyDescent="0.25">
      <c r="B113" s="21" t="s">
        <v>202</v>
      </c>
      <c r="C113" s="22">
        <f ca="1">+CalculosFoda!AD107</f>
        <v>4.9999000000000002</v>
      </c>
      <c r="D113" s="23"/>
      <c r="E113" s="23"/>
      <c r="F113" s="23" t="s">
        <v>28</v>
      </c>
      <c r="G113" s="23"/>
      <c r="H113" s="23"/>
      <c r="J113" s="23"/>
      <c r="K113" s="23"/>
      <c r="L113" s="23" t="s">
        <v>28</v>
      </c>
      <c r="M113" s="23"/>
      <c r="O113" s="24"/>
      <c r="P113" s="25" t="str">
        <f>IF(AND(COUNTIF(D113:H113,"x")=1,COUNTIF(J113:M113,"x")=1),"OK",IF(AND(COUNTIF(D113:H113,"x")=0,COUNTIF(J113:M113,"x")=0),"pendiente","revisar"))</f>
        <v>OK</v>
      </c>
    </row>
    <row r="114" spans="2:16" ht="45.75" customHeight="1" x14ac:dyDescent="0.25">
      <c r="B114" s="21" t="s">
        <v>203</v>
      </c>
      <c r="C114" s="22">
        <f ca="1">+CalculosFoda!AD108</f>
        <v>6.9998999999999993</v>
      </c>
      <c r="D114" s="23"/>
      <c r="E114" s="23"/>
      <c r="F114" s="23"/>
      <c r="G114" s="23" t="s">
        <v>28</v>
      </c>
      <c r="H114" s="23"/>
      <c r="J114" s="23"/>
      <c r="K114" s="23" t="s">
        <v>28</v>
      </c>
      <c r="L114" s="23"/>
      <c r="M114" s="23"/>
      <c r="O114" s="24"/>
      <c r="P114" s="25" t="str">
        <f>IF(AND(COUNTIF(D114:H114,"x")=1,COUNTIF(J114:M114,"x")=1),"OK",IF(AND(COUNTIF(D114:H114,"x")=0,COUNTIF(J114:M114,"x")=0),"pendiente","revisar"))</f>
        <v>OK</v>
      </c>
    </row>
    <row r="115" spans="2:16" ht="32.25" customHeight="1" x14ac:dyDescent="0.25">
      <c r="B115" s="21" t="s">
        <v>204</v>
      </c>
      <c r="C115" s="22">
        <f ca="1">+CalculosFoda!AD109</f>
        <v>9.9998499999999986</v>
      </c>
      <c r="D115" s="23"/>
      <c r="E115" s="23"/>
      <c r="F115" s="23"/>
      <c r="G115" s="23"/>
      <c r="H115" s="23" t="s">
        <v>28</v>
      </c>
      <c r="J115" s="23"/>
      <c r="K115" s="23"/>
      <c r="L115" s="23"/>
      <c r="M115" s="23" t="s">
        <v>28</v>
      </c>
      <c r="O115" s="24"/>
      <c r="P115" s="25" t="str">
        <f>IF(AND(COUNTIF(D115:H115,"x")=1,COUNTIF(J115:M115,"x")=1),"OK",IF(AND(COUNTIF(D115:H115,"x")=0,COUNTIF(J115:M115,"x")=0),"pendiente","revisar"))</f>
        <v>OK</v>
      </c>
    </row>
    <row r="117" spans="2:16" x14ac:dyDescent="0.25">
      <c r="B117" s="20" t="s">
        <v>205</v>
      </c>
      <c r="C117" s="8"/>
      <c r="D117" s="8"/>
      <c r="E117" s="8"/>
      <c r="F117" s="8"/>
      <c r="G117" s="8"/>
      <c r="H117" s="8"/>
      <c r="I117" s="8"/>
      <c r="J117" s="8"/>
      <c r="K117" s="8"/>
      <c r="L117" s="8"/>
      <c r="M117" s="8"/>
      <c r="N117" s="8"/>
      <c r="O117" s="8"/>
      <c r="P117" s="8"/>
    </row>
    <row r="118" spans="2:16" ht="45.75" customHeight="1" x14ac:dyDescent="0.25">
      <c r="B118" s="21" t="s">
        <v>206</v>
      </c>
      <c r="C118" s="22">
        <f ca="1">+CalculosFoda!AD112</f>
        <v>4.9999000000000002</v>
      </c>
      <c r="D118" s="23"/>
      <c r="E118" s="23"/>
      <c r="F118" s="23" t="s">
        <v>28</v>
      </c>
      <c r="G118" s="23"/>
      <c r="H118" s="23"/>
      <c r="J118" s="23"/>
      <c r="K118" s="23" t="s">
        <v>28</v>
      </c>
      <c r="L118" s="23"/>
      <c r="M118" s="23"/>
      <c r="O118" s="24"/>
      <c r="P118" s="25" t="str">
        <f>IF(AND(COUNTIF(D118:H118,"x")=1,COUNTIF(J118:M118,"x")=1),"OK",IF(AND(COUNTIF(D118:H118,"x")=0,COUNTIF(J118:M118,"x")=0),"pendiente","revisar"))</f>
        <v>OK</v>
      </c>
    </row>
    <row r="119" spans="2:16" ht="45.75" customHeight="1" x14ac:dyDescent="0.25">
      <c r="B119" s="21" t="s">
        <v>207</v>
      </c>
      <c r="C119" s="22">
        <f ca="1">+CalculosFoda!AD113</f>
        <v>2.9999000000000002</v>
      </c>
      <c r="D119" s="23"/>
      <c r="E119" s="23" t="s">
        <v>28</v>
      </c>
      <c r="F119" s="23"/>
      <c r="G119" s="23"/>
      <c r="H119" s="23"/>
      <c r="J119" s="23"/>
      <c r="K119" s="23"/>
      <c r="L119" s="23" t="s">
        <v>28</v>
      </c>
      <c r="M119" s="23"/>
      <c r="O119" s="24"/>
      <c r="P119" s="25" t="str">
        <f>IF(AND(COUNTIF(D119:H119,"x")=1,COUNTIF(J119:M119,"x")=1),"OK",IF(AND(COUNTIF(D119:H119,"x")=0,COUNTIF(J119:M119,"x")=0),"pendiente","revisar"))</f>
        <v>OK</v>
      </c>
    </row>
    <row r="120" spans="2:16" ht="45.75" customHeight="1" x14ac:dyDescent="0.25">
      <c r="B120" s="21" t="s">
        <v>208</v>
      </c>
      <c r="C120" s="22">
        <f ca="1">+CalculosFoda!AD114</f>
        <v>4.9999000000000002</v>
      </c>
      <c r="D120" s="23"/>
      <c r="E120" s="23"/>
      <c r="F120" s="23" t="s">
        <v>28</v>
      </c>
      <c r="G120" s="23"/>
      <c r="H120" s="23"/>
      <c r="J120" s="23"/>
      <c r="K120" s="23"/>
      <c r="L120" s="23" t="s">
        <v>28</v>
      </c>
      <c r="M120" s="23"/>
      <c r="O120" s="24"/>
      <c r="P120" s="25" t="str">
        <f>IF(AND(COUNTIF(D120:H120,"x")=1,COUNTIF(J120:M120,"x")=1),"OK",IF(AND(COUNTIF(D120:H120,"x")=0,COUNTIF(J120:M120,"x")=0),"pendiente","revisar"))</f>
        <v>OK</v>
      </c>
    </row>
    <row r="121" spans="2:16" ht="32.25" customHeight="1" x14ac:dyDescent="0.25">
      <c r="B121" s="21" t="s">
        <v>209</v>
      </c>
      <c r="C121" s="22">
        <f ca="1">+CalculosFoda!AD115</f>
        <v>4.9999000000000002</v>
      </c>
      <c r="D121" s="23"/>
      <c r="E121" s="23"/>
      <c r="F121" s="23" t="s">
        <v>28</v>
      </c>
      <c r="G121" s="23"/>
      <c r="H121" s="23"/>
      <c r="J121" s="23"/>
      <c r="K121" s="23"/>
      <c r="L121" s="23" t="s">
        <v>28</v>
      </c>
      <c r="M121" s="23"/>
      <c r="O121" s="24"/>
      <c r="P121" s="25" t="str">
        <f>IF(AND(COUNTIF(D121:H121,"x")=1,COUNTIF(J121:M121,"x")=1),"OK",IF(AND(COUNTIF(D121:H121,"x")=0,COUNTIF(J121:M121,"x")=0),"pendiente","revisar"))</f>
        <v>OK</v>
      </c>
    </row>
    <row r="123" spans="2:16" x14ac:dyDescent="0.25">
      <c r="B123" s="20" t="s">
        <v>210</v>
      </c>
      <c r="C123" s="8"/>
      <c r="D123" s="8"/>
      <c r="E123" s="8"/>
      <c r="F123" s="8"/>
      <c r="G123" s="8"/>
      <c r="H123" s="8"/>
      <c r="I123" s="8"/>
      <c r="J123" s="8"/>
      <c r="K123" s="8"/>
      <c r="L123" s="8"/>
      <c r="M123" s="8"/>
      <c r="N123" s="8"/>
      <c r="O123" s="8"/>
      <c r="P123" s="8"/>
    </row>
    <row r="124" spans="2:16" ht="45.75" customHeight="1" x14ac:dyDescent="0.25">
      <c r="B124" s="21" t="s">
        <v>211</v>
      </c>
      <c r="C124" s="22">
        <f ca="1">+CalculosFoda!AD118</f>
        <v>4.9999000000000002</v>
      </c>
      <c r="D124" s="23"/>
      <c r="E124" s="23"/>
      <c r="F124" s="23" t="s">
        <v>28</v>
      </c>
      <c r="G124" s="23"/>
      <c r="H124" s="23"/>
      <c r="J124" s="23"/>
      <c r="K124" s="23" t="s">
        <v>28</v>
      </c>
      <c r="L124" s="23"/>
      <c r="M124" s="23"/>
      <c r="O124" s="24"/>
      <c r="P124" s="25" t="str">
        <f t="shared" ref="P124:P130" si="9">IF(AND(COUNTIF(D124:H124,"x")=1,COUNTIF(J124:M124,"x")=1),"OK",IF(AND(COUNTIF(D124:H124,"x")=0,COUNTIF(J124:M124,"x")=0),"pendiente","revisar"))</f>
        <v>OK</v>
      </c>
    </row>
    <row r="125" spans="2:16" ht="45.75" customHeight="1" x14ac:dyDescent="0.25">
      <c r="B125" s="21" t="s">
        <v>212</v>
      </c>
      <c r="C125" s="22">
        <f ca="1">+CalculosFoda!AD119</f>
        <v>4.9999000000000002</v>
      </c>
      <c r="D125" s="23"/>
      <c r="E125" s="23"/>
      <c r="F125" s="23" t="s">
        <v>28</v>
      </c>
      <c r="G125" s="23"/>
      <c r="H125" s="23"/>
      <c r="J125" s="23"/>
      <c r="K125" s="23"/>
      <c r="L125" s="23" t="s">
        <v>28</v>
      </c>
      <c r="M125" s="23"/>
      <c r="O125" s="24"/>
      <c r="P125" s="25" t="str">
        <f t="shared" si="9"/>
        <v>OK</v>
      </c>
    </row>
    <row r="126" spans="2:16" ht="45.75" customHeight="1" x14ac:dyDescent="0.25">
      <c r="B126" s="21" t="s">
        <v>213</v>
      </c>
      <c r="C126" s="22">
        <f ca="1">+CalculosFoda!AD120</f>
        <v>4.9999000000000002</v>
      </c>
      <c r="D126" s="23"/>
      <c r="E126" s="23"/>
      <c r="F126" s="23" t="s">
        <v>28</v>
      </c>
      <c r="G126" s="23"/>
      <c r="H126" s="23"/>
      <c r="J126" s="23"/>
      <c r="K126" s="23"/>
      <c r="L126" s="23"/>
      <c r="M126" s="23" t="s">
        <v>28</v>
      </c>
      <c r="O126" s="24"/>
      <c r="P126" s="25" t="str">
        <f t="shared" si="9"/>
        <v>OK</v>
      </c>
    </row>
    <row r="127" spans="2:16" ht="32.25" customHeight="1" x14ac:dyDescent="0.25">
      <c r="B127" s="21" t="s">
        <v>214</v>
      </c>
      <c r="C127" s="22">
        <f ca="1">+CalculosFoda!AD121</f>
        <v>0.99994999999999989</v>
      </c>
      <c r="D127" s="23" t="s">
        <v>28</v>
      </c>
      <c r="E127" s="23"/>
      <c r="F127" s="23"/>
      <c r="G127" s="23"/>
      <c r="H127" s="23"/>
      <c r="J127" s="23"/>
      <c r="K127" s="23" t="s">
        <v>28</v>
      </c>
      <c r="L127" s="23"/>
      <c r="M127" s="23"/>
      <c r="O127" s="24"/>
      <c r="P127" s="25" t="str">
        <f t="shared" si="9"/>
        <v>OK</v>
      </c>
    </row>
    <row r="128" spans="2:16" ht="32.25" customHeight="1" x14ac:dyDescent="0.25">
      <c r="B128" s="21" t="s">
        <v>215</v>
      </c>
      <c r="C128" s="22">
        <f ca="1">+CalculosFoda!AD122</f>
        <v>4.9999000000000002</v>
      </c>
      <c r="D128" s="23"/>
      <c r="E128" s="23"/>
      <c r="F128" s="23" t="s">
        <v>28</v>
      </c>
      <c r="G128" s="23"/>
      <c r="H128" s="23"/>
      <c r="J128" s="23"/>
      <c r="K128" s="23"/>
      <c r="L128" s="23"/>
      <c r="M128" s="23" t="s">
        <v>28</v>
      </c>
      <c r="O128" s="24"/>
      <c r="P128" s="25" t="str">
        <f t="shared" si="9"/>
        <v>OK</v>
      </c>
    </row>
    <row r="129" spans="2:16" ht="32.25" customHeight="1" x14ac:dyDescent="0.25">
      <c r="B129" s="21" t="s">
        <v>216</v>
      </c>
      <c r="C129" s="22">
        <f ca="1">+CalculosFoda!AD123</f>
        <v>4.9999000000000002</v>
      </c>
      <c r="D129" s="23"/>
      <c r="E129" s="23"/>
      <c r="F129" s="23" t="s">
        <v>28</v>
      </c>
      <c r="G129" s="23"/>
      <c r="H129" s="23"/>
      <c r="J129" s="23"/>
      <c r="K129" s="23"/>
      <c r="L129" s="23" t="s">
        <v>28</v>
      </c>
      <c r="M129" s="23"/>
      <c r="O129" s="24"/>
      <c r="P129" s="25" t="str">
        <f t="shared" si="9"/>
        <v>OK</v>
      </c>
    </row>
    <row r="130" spans="2:16" ht="32.25" customHeight="1" x14ac:dyDescent="0.25">
      <c r="B130" s="21" t="s">
        <v>217</v>
      </c>
      <c r="C130" s="22">
        <f ca="1">+CalculosFoda!AD124</f>
        <v>4.9999000000000002</v>
      </c>
      <c r="D130" s="23"/>
      <c r="E130" s="23"/>
      <c r="F130" s="23" t="s">
        <v>28</v>
      </c>
      <c r="G130" s="23"/>
      <c r="H130" s="23"/>
      <c r="J130" s="23"/>
      <c r="K130" s="23"/>
      <c r="L130" s="23"/>
      <c r="M130" s="23" t="s">
        <v>28</v>
      </c>
      <c r="O130" s="24"/>
      <c r="P130" s="25" t="str">
        <f t="shared" si="9"/>
        <v>OK</v>
      </c>
    </row>
    <row r="132" spans="2:16" x14ac:dyDescent="0.25">
      <c r="B132" s="20" t="s">
        <v>218</v>
      </c>
      <c r="C132" s="8"/>
      <c r="D132" s="8"/>
      <c r="E132" s="8"/>
      <c r="F132" s="8"/>
      <c r="G132" s="8"/>
      <c r="H132" s="8"/>
      <c r="I132" s="8"/>
      <c r="J132" s="8"/>
      <c r="K132" s="8"/>
      <c r="L132" s="8"/>
      <c r="M132" s="8"/>
      <c r="N132" s="8"/>
      <c r="O132" s="8"/>
      <c r="P132" s="8"/>
    </row>
    <row r="133" spans="2:16" ht="45.75" customHeight="1" x14ac:dyDescent="0.25">
      <c r="B133" s="21" t="s">
        <v>219</v>
      </c>
      <c r="C133" s="22">
        <f ca="1">+CalculosFoda!AD127</f>
        <v>0.99994999999999989</v>
      </c>
      <c r="D133" s="23" t="s">
        <v>28</v>
      </c>
      <c r="E133" s="23"/>
      <c r="F133" s="23"/>
      <c r="G133" s="23"/>
      <c r="H133" s="23"/>
      <c r="J133" s="23"/>
      <c r="K133" s="23" t="s">
        <v>28</v>
      </c>
      <c r="L133" s="23"/>
      <c r="M133" s="23"/>
      <c r="O133" s="24"/>
      <c r="P133" s="25" t="str">
        <f t="shared" ref="P133:P138" si="10">IF(AND(COUNTIF(D133:H133,"x")=1,COUNTIF(J133:M133,"x")=1),"OK",IF(AND(COUNTIF(D133:H133,"x")=0,COUNTIF(J133:M133,"x")=0),"pendiente","revisar"))</f>
        <v>OK</v>
      </c>
    </row>
    <row r="134" spans="2:16" ht="45.75" customHeight="1" x14ac:dyDescent="0.25">
      <c r="B134" s="21" t="s">
        <v>220</v>
      </c>
      <c r="C134" s="22">
        <f ca="1">+CalculosFoda!AD128</f>
        <v>4.9999000000000002</v>
      </c>
      <c r="D134" s="23"/>
      <c r="E134" s="23"/>
      <c r="F134" s="23" t="s">
        <v>28</v>
      </c>
      <c r="G134" s="23"/>
      <c r="H134" s="23"/>
      <c r="J134" s="23"/>
      <c r="K134" s="23"/>
      <c r="L134" s="23"/>
      <c r="M134" s="23" t="s">
        <v>28</v>
      </c>
      <c r="O134" s="24"/>
      <c r="P134" s="25" t="str">
        <f t="shared" si="10"/>
        <v>OK</v>
      </c>
    </row>
    <row r="135" spans="2:16" ht="45.75" customHeight="1" x14ac:dyDescent="0.25">
      <c r="B135" s="21" t="s">
        <v>221</v>
      </c>
      <c r="C135" s="22">
        <f ca="1">+CalculosFoda!AD129</f>
        <v>4.9999000000000002</v>
      </c>
      <c r="D135" s="23"/>
      <c r="E135" s="23"/>
      <c r="F135" s="23" t="s">
        <v>28</v>
      </c>
      <c r="G135" s="23"/>
      <c r="H135" s="23"/>
      <c r="J135" s="23"/>
      <c r="K135" s="23"/>
      <c r="L135" s="23" t="s">
        <v>28</v>
      </c>
      <c r="M135" s="23"/>
      <c r="O135" s="24"/>
      <c r="P135" s="25" t="str">
        <f t="shared" si="10"/>
        <v>OK</v>
      </c>
    </row>
    <row r="136" spans="2:16" ht="45.75" customHeight="1" x14ac:dyDescent="0.25">
      <c r="B136" s="21" t="s">
        <v>222</v>
      </c>
      <c r="C136" s="22">
        <f ca="1">+CalculosFoda!AD130</f>
        <v>6.9998999999999993</v>
      </c>
      <c r="D136" s="23"/>
      <c r="E136" s="23"/>
      <c r="F136" s="23"/>
      <c r="G136" s="23" t="s">
        <v>28</v>
      </c>
      <c r="H136" s="23"/>
      <c r="J136" s="23"/>
      <c r="K136" s="23" t="s">
        <v>28</v>
      </c>
      <c r="L136" s="23"/>
      <c r="M136" s="23"/>
      <c r="O136" s="24"/>
      <c r="P136" s="25" t="str">
        <f t="shared" si="10"/>
        <v>OK</v>
      </c>
    </row>
    <row r="137" spans="2:16" ht="32.25" customHeight="1" x14ac:dyDescent="0.25">
      <c r="B137" s="21" t="s">
        <v>223</v>
      </c>
      <c r="C137" s="22">
        <f ca="1">+CalculosFoda!AD131</f>
        <v>4.9999000000000002</v>
      </c>
      <c r="D137" s="23"/>
      <c r="E137" s="23"/>
      <c r="F137" s="23" t="s">
        <v>28</v>
      </c>
      <c r="G137" s="23"/>
      <c r="H137" s="23"/>
      <c r="J137" s="23"/>
      <c r="K137" s="23"/>
      <c r="L137" s="23" t="s">
        <v>28</v>
      </c>
      <c r="M137" s="23"/>
      <c r="O137" s="24"/>
      <c r="P137" s="25" t="str">
        <f t="shared" si="10"/>
        <v>OK</v>
      </c>
    </row>
    <row r="138" spans="2:16" ht="45.75" customHeight="1" x14ac:dyDescent="0.25">
      <c r="B138" s="21" t="s">
        <v>224</v>
      </c>
      <c r="C138" s="22">
        <f ca="1">+CalculosFoda!AD132</f>
        <v>6.9998999999999993</v>
      </c>
      <c r="D138" s="23"/>
      <c r="E138" s="23"/>
      <c r="F138" s="23"/>
      <c r="G138" s="23" t="s">
        <v>28</v>
      </c>
      <c r="H138" s="23"/>
      <c r="J138" s="23"/>
      <c r="K138" s="23"/>
      <c r="L138" s="23" t="s">
        <v>28</v>
      </c>
      <c r="M138" s="23"/>
      <c r="O138" s="24"/>
      <c r="P138" s="25" t="str">
        <f t="shared" si="10"/>
        <v>OK</v>
      </c>
    </row>
    <row r="140" spans="2:16" x14ac:dyDescent="0.25">
      <c r="B140" s="20" t="s">
        <v>225</v>
      </c>
      <c r="C140" s="8"/>
      <c r="D140" s="8"/>
      <c r="E140" s="8"/>
      <c r="F140" s="8"/>
      <c r="G140" s="8"/>
      <c r="H140" s="8"/>
      <c r="I140" s="8"/>
      <c r="J140" s="8"/>
      <c r="K140" s="8"/>
      <c r="L140" s="8"/>
      <c r="M140" s="8"/>
      <c r="N140" s="8"/>
      <c r="O140" s="8"/>
      <c r="P140" s="8"/>
    </row>
    <row r="141" spans="2:16" ht="32.25" customHeight="1" x14ac:dyDescent="0.25">
      <c r="B141" s="21" t="s">
        <v>226</v>
      </c>
      <c r="C141" s="22">
        <f ca="1">+CalculosFoda!AD135</f>
        <v>6.9998999999999993</v>
      </c>
      <c r="D141" s="23"/>
      <c r="E141" s="23"/>
      <c r="F141" s="23"/>
      <c r="G141" s="23" t="s">
        <v>28</v>
      </c>
      <c r="H141" s="23"/>
      <c r="J141" s="23"/>
      <c r="K141" s="23"/>
      <c r="L141" s="23" t="s">
        <v>28</v>
      </c>
      <c r="M141" s="23"/>
      <c r="O141" s="24"/>
      <c r="P141" s="25" t="str">
        <f>IF(AND(COUNTIF(D141:H141,"x")=1,COUNTIF(J141:M141,"x")=1),"OK",IF(AND(COUNTIF(D141:H141,"x")=0,COUNTIF(J141:M141,"x")=0),"pendiente","revisar"))</f>
        <v>OK</v>
      </c>
    </row>
    <row r="142" spans="2:16" ht="32.25" customHeight="1" x14ac:dyDescent="0.25">
      <c r="B142" s="21" t="s">
        <v>227</v>
      </c>
      <c r="C142" s="22">
        <f ca="1">+CalculosFoda!AD136</f>
        <v>4.9999000000000002</v>
      </c>
      <c r="D142" s="23"/>
      <c r="E142" s="23"/>
      <c r="F142" s="23" t="s">
        <v>28</v>
      </c>
      <c r="G142" s="23"/>
      <c r="H142" s="23"/>
      <c r="J142" s="23"/>
      <c r="K142" s="23"/>
      <c r="L142" s="23" t="s">
        <v>28</v>
      </c>
      <c r="M142" s="23"/>
      <c r="O142" s="24"/>
      <c r="P142" s="25" t="str">
        <f>IF(AND(COUNTIF(D142:H142,"x")=1,COUNTIF(J142:M142,"x")=1),"OK",IF(AND(COUNTIF(D142:H142,"x")=0,COUNTIF(J142:M142,"x")=0),"pendiente","revisar"))</f>
        <v>OK</v>
      </c>
    </row>
    <row r="143" spans="2:16" ht="32.25" customHeight="1" x14ac:dyDescent="0.25">
      <c r="B143" s="21" t="s">
        <v>228</v>
      </c>
      <c r="C143" s="22">
        <f ca="1">+CalculosFoda!AD137</f>
        <v>4.9999000000000002</v>
      </c>
      <c r="D143" s="23"/>
      <c r="E143" s="23"/>
      <c r="F143" s="23" t="s">
        <v>28</v>
      </c>
      <c r="G143" s="23"/>
      <c r="H143" s="23"/>
      <c r="J143" s="23"/>
      <c r="K143" s="23"/>
      <c r="L143" s="23"/>
      <c r="M143" s="23" t="s">
        <v>28</v>
      </c>
      <c r="O143" s="24"/>
      <c r="P143" s="25" t="str">
        <f>IF(AND(COUNTIF(D143:H143,"x")=1,COUNTIF(J143:M143,"x")=1),"OK",IF(AND(COUNTIF(D143:H143,"x")=0,COUNTIF(J143:M143,"x")=0),"pendiente","revisar"))</f>
        <v>OK</v>
      </c>
    </row>
    <row r="144" spans="2:16" ht="45.75" customHeight="1" x14ac:dyDescent="0.25">
      <c r="B144" s="21" t="s">
        <v>229</v>
      </c>
      <c r="C144" s="22">
        <f ca="1">+CalculosFoda!AD138</f>
        <v>6.9998999999999993</v>
      </c>
      <c r="D144" s="23"/>
      <c r="E144" s="23"/>
      <c r="F144" s="23"/>
      <c r="G144" s="23" t="s">
        <v>28</v>
      </c>
      <c r="H144" s="23"/>
      <c r="J144" s="23"/>
      <c r="K144" s="23"/>
      <c r="L144" s="23"/>
      <c r="M144" s="23" t="s">
        <v>28</v>
      </c>
      <c r="O144" s="24"/>
      <c r="P144" s="25" t="str">
        <f>IF(AND(COUNTIF(D144:H144,"x")=1,COUNTIF(J144:M144,"x")=1),"OK",IF(AND(COUNTIF(D144:H144,"x")=0,COUNTIF(J144:M144,"x")=0),"pendiente","revisar"))</f>
        <v>OK</v>
      </c>
    </row>
    <row r="146" spans="2:16" x14ac:dyDescent="0.25">
      <c r="B146" s="20" t="s">
        <v>230</v>
      </c>
      <c r="C146" s="8"/>
      <c r="D146" s="8"/>
      <c r="E146" s="8"/>
      <c r="F146" s="8"/>
      <c r="G146" s="8"/>
      <c r="H146" s="8"/>
      <c r="I146" s="8"/>
      <c r="J146" s="8"/>
      <c r="K146" s="8"/>
      <c r="L146" s="8"/>
      <c r="M146" s="8"/>
      <c r="N146" s="8"/>
      <c r="O146" s="8"/>
      <c r="P146" s="8"/>
    </row>
    <row r="147" spans="2:16" ht="32.25" customHeight="1" x14ac:dyDescent="0.25">
      <c r="B147" s="21" t="s">
        <v>231</v>
      </c>
      <c r="C147" s="22">
        <f ca="1">+CalculosFoda!AD141</f>
        <v>9.9998499999999986</v>
      </c>
      <c r="D147" s="23"/>
      <c r="E147" s="23"/>
      <c r="F147" s="23"/>
      <c r="G147" s="23"/>
      <c r="H147" s="23" t="s">
        <v>28</v>
      </c>
      <c r="J147" s="23"/>
      <c r="K147" s="23"/>
      <c r="L147" s="23" t="s">
        <v>28</v>
      </c>
      <c r="M147" s="23"/>
      <c r="O147" s="24"/>
      <c r="P147" s="25" t="str">
        <f>IF(AND(COUNTIF(D147:H147,"x")=1,COUNTIF(J147:M147,"x")=1),"OK",IF(AND(COUNTIF(D147:H147,"x")=0,COUNTIF(J147:M147,"x")=0),"pendiente","revisar"))</f>
        <v>OK</v>
      </c>
    </row>
    <row r="148" spans="2:16" ht="32.25" customHeight="1" x14ac:dyDescent="0.25">
      <c r="B148" s="21" t="s">
        <v>232</v>
      </c>
      <c r="C148" s="22">
        <f ca="1">+CalculosFoda!AD142</f>
        <v>2.9999000000000002</v>
      </c>
      <c r="D148" s="23"/>
      <c r="E148" s="23" t="s">
        <v>28</v>
      </c>
      <c r="F148" s="23"/>
      <c r="G148" s="23"/>
      <c r="H148" s="23"/>
      <c r="J148" s="23"/>
      <c r="K148" s="23"/>
      <c r="L148" s="23"/>
      <c r="M148" s="23" t="s">
        <v>28</v>
      </c>
      <c r="O148" s="24"/>
      <c r="P148" s="25" t="str">
        <f>IF(AND(COUNTIF(D148:H148,"x")=1,COUNTIF(J148:M148,"x")=1),"OK",IF(AND(COUNTIF(D148:H148,"x")=0,COUNTIF(J148:M148,"x")=0),"pendiente","revisar"))</f>
        <v>OK</v>
      </c>
    </row>
    <row r="150" spans="2:16" x14ac:dyDescent="0.25">
      <c r="B150" s="20" t="s">
        <v>233</v>
      </c>
      <c r="C150" s="8"/>
      <c r="D150" s="8"/>
      <c r="E150" s="8"/>
      <c r="F150" s="8"/>
      <c r="G150" s="8"/>
      <c r="H150" s="8"/>
      <c r="I150" s="8"/>
      <c r="J150" s="8"/>
      <c r="K150" s="8"/>
      <c r="L150" s="8"/>
      <c r="M150" s="8"/>
      <c r="N150" s="8"/>
      <c r="O150" s="8"/>
      <c r="P150" s="8"/>
    </row>
    <row r="151" spans="2:16" ht="45.75" customHeight="1" x14ac:dyDescent="0.25">
      <c r="B151" s="21" t="s">
        <v>234</v>
      </c>
      <c r="C151" s="22">
        <f ca="1">+CalculosFoda!AD145</f>
        <v>6.9998999999999993</v>
      </c>
      <c r="D151" s="23"/>
      <c r="E151" s="23"/>
      <c r="F151" s="23"/>
      <c r="G151" s="23" t="s">
        <v>28</v>
      </c>
      <c r="H151" s="23"/>
      <c r="J151" s="23"/>
      <c r="K151" s="23"/>
      <c r="L151" s="23" t="s">
        <v>28</v>
      </c>
      <c r="M151" s="23"/>
      <c r="O151" s="24"/>
      <c r="P151" s="25" t="str">
        <f>IF(AND(COUNTIF(D151:H151,"x")=1,COUNTIF(J151:M151,"x")=1),"OK",IF(AND(COUNTIF(D151:H151,"x")=0,COUNTIF(J151:M151,"x")=0),"pendiente","revisar"))</f>
        <v>OK</v>
      </c>
    </row>
    <row r="152" spans="2:16" ht="45.75" customHeight="1" x14ac:dyDescent="0.25">
      <c r="B152" s="21" t="s">
        <v>235</v>
      </c>
      <c r="C152" s="22">
        <f ca="1">+CalculosFoda!AD146</f>
        <v>2.9999000000000002</v>
      </c>
      <c r="D152" s="23"/>
      <c r="E152" s="23" t="s">
        <v>28</v>
      </c>
      <c r="F152" s="23"/>
      <c r="G152" s="23"/>
      <c r="H152" s="23"/>
      <c r="J152" s="23"/>
      <c r="K152" s="23"/>
      <c r="L152" s="23"/>
      <c r="M152" s="23" t="s">
        <v>28</v>
      </c>
      <c r="O152" s="24"/>
      <c r="P152" s="25" t="str">
        <f>IF(AND(COUNTIF(D152:H152,"x")=1,COUNTIF(J152:M152,"x")=1),"OK",IF(AND(COUNTIF(D152:H152,"x")=0,COUNTIF(J152:M152,"x")=0),"pendiente","revisar"))</f>
        <v>OK</v>
      </c>
    </row>
    <row r="153" spans="2:16" ht="45.75" customHeight="1" x14ac:dyDescent="0.25">
      <c r="B153" s="21" t="s">
        <v>236</v>
      </c>
      <c r="C153" s="22">
        <f ca="1">+CalculosFoda!AD147</f>
        <v>6.9998999999999993</v>
      </c>
      <c r="D153" s="23"/>
      <c r="E153" s="23"/>
      <c r="F153" s="23"/>
      <c r="G153" s="23" t="s">
        <v>28</v>
      </c>
      <c r="H153" s="23"/>
      <c r="J153" s="23"/>
      <c r="K153" s="23"/>
      <c r="L153" s="23"/>
      <c r="M153" s="23" t="s">
        <v>28</v>
      </c>
      <c r="O153" s="24"/>
      <c r="P153" s="25" t="str">
        <f>IF(AND(COUNTIF(D153:H153,"x")=1,COUNTIF(J153:M153,"x")=1),"OK",IF(AND(COUNTIF(D153:H153,"x")=0,COUNTIF(J153:M153,"x")=0),"pendiente","revisar"))</f>
        <v>OK</v>
      </c>
    </row>
    <row r="154" spans="2:16" ht="45.75" customHeight="1" x14ac:dyDescent="0.25">
      <c r="B154" s="21" t="s">
        <v>237</v>
      </c>
      <c r="C154" s="22">
        <f ca="1">+CalculosFoda!AD148</f>
        <v>2.9999000000000002</v>
      </c>
      <c r="D154" s="23"/>
      <c r="E154" s="23" t="s">
        <v>28</v>
      </c>
      <c r="F154" s="23"/>
      <c r="G154" s="23"/>
      <c r="H154" s="23"/>
      <c r="J154" s="23"/>
      <c r="K154" s="23"/>
      <c r="L154" s="23" t="s">
        <v>28</v>
      </c>
      <c r="M154" s="23"/>
      <c r="O154" s="24"/>
      <c r="P154" s="25" t="str">
        <f>IF(AND(COUNTIF(D154:H154,"x")=1,COUNTIF(J154:M154,"x")=1),"OK",IF(AND(COUNTIF(D154:H154,"x")=0,COUNTIF(J154:M154,"x")=0),"pendiente","revisar"))</f>
        <v>OK</v>
      </c>
    </row>
  </sheetData>
  <mergeCells count="2">
    <mergeCell ref="D2:H2"/>
    <mergeCell ref="J2:M2"/>
  </mergeCells>
  <conditionalFormatting sqref="C6:C10 C13:C19 C22:C26 C29:C33 C36:C41 C45:C52 C55:C63 C66:C71 C74:C79 C83:C89 C93:C98 C101:C108 C111:C115 C118:C121 C124:C130 C133:C138 C141:C144 C147:C148 C151:C154">
    <cfRule type="cellIs" dxfId="21" priority="2" operator="lessThan">
      <formula>5</formula>
    </cfRule>
    <cfRule type="cellIs" dxfId="20" priority="3" operator="between">
      <formula>5</formula>
      <formula>8</formula>
    </cfRule>
    <cfRule type="cellIs" dxfId="19" priority="4" operator="between">
      <formula>8</formula>
      <formula>10</formula>
    </cfRule>
  </conditionalFormatting>
  <conditionalFormatting sqref="P6:P10 P13:P19 P22:P26 P29:P33 P36:P41 P45:P52 P55:P63 P66:P71 P74:P79 P83:P89 P93:P98 P101:P108 P111:P115 P118:P121 P124:P130 P133:P138 P141:P144 P147:P148 P151:P154">
    <cfRule type="expression" dxfId="18" priority="5">
      <formula>P6="revisar"</formula>
    </cfRule>
    <cfRule type="expression" dxfId="17" priority="6">
      <formula>P6="OK"</formula>
    </cfRule>
  </conditionalFormatting>
  <dataValidations count="1">
    <dataValidation type="list" allowBlank="1" showErrorMessage="1" errorTitle="Solo 'x'" error="Marque la celda con una 'x' o déjela vacía." sqref="D6:H10 J6:M10 D13:H19 J13:M19 D22:H26 J22:M26 D29:H33 J29:M33 D36:H41 J36:M41 D45:H52 J45:M52 D55:H63 J55:M63 D66:H71 J66:M71 D74:H79 J74:M79 D83:H89 J83:M89 D93:H98 J93:M98 D101:H108 J101:M108 D111:H115 J111:M115 D118:H121 J118:M121 D124:H130 J124:M130 D133:H138 J133:M138 D141:H144 J141:M144 D147:H148 J147:M148 D151:H154 J151:M154" xr:uid="{00000000-0002-0000-0100-000000000000}">
      <formula1>"x,X"</formula1>
      <formula2>0</formula2>
    </dataValidation>
  </dataValidations>
  <pageMargins left="0.75" right="0.75" top="1" bottom="1"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B1:I114"/>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2" customWidth="1"/>
    <col min="2" max="2" width="8" customWidth="1"/>
    <col min="3" max="3" width="30" customWidth="1"/>
    <col min="4" max="4" width="36" customWidth="1"/>
    <col min="5" max="5" width="58" customWidth="1"/>
    <col min="6" max="6" width="40" customWidth="1"/>
    <col min="7" max="7" width="11" customWidth="1"/>
    <col min="8" max="8" width="40" customWidth="1"/>
    <col min="9" max="9" width="50" customWidth="1"/>
  </cols>
  <sheetData>
    <row r="1" spans="2:9" ht="15.75" x14ac:dyDescent="0.25">
      <c r="B1" s="26" t="s">
        <v>238</v>
      </c>
    </row>
    <row r="2" spans="2:9" ht="27.75" customHeight="1" x14ac:dyDescent="0.25">
      <c r="B2" s="76" t="s">
        <v>239</v>
      </c>
      <c r="C2" s="76"/>
      <c r="D2" s="76"/>
      <c r="E2" s="76"/>
      <c r="F2" s="76"/>
      <c r="G2" s="76"/>
      <c r="H2" s="76"/>
      <c r="I2" s="76"/>
    </row>
    <row r="4" spans="2:9" ht="42" customHeight="1" x14ac:dyDescent="0.25">
      <c r="B4" s="27" t="s">
        <v>55</v>
      </c>
      <c r="C4" s="27" t="s">
        <v>240</v>
      </c>
      <c r="D4" s="27" t="s">
        <v>241</v>
      </c>
      <c r="E4" s="27" t="s">
        <v>242</v>
      </c>
      <c r="F4" s="27" t="s">
        <v>243</v>
      </c>
      <c r="G4" s="27" t="s">
        <v>244</v>
      </c>
      <c r="H4" s="27" t="s">
        <v>245</v>
      </c>
      <c r="I4" s="27" t="s">
        <v>246</v>
      </c>
    </row>
    <row r="5" spans="2:9" ht="78.75" customHeight="1" x14ac:dyDescent="0.25">
      <c r="B5" s="28" t="s">
        <v>247</v>
      </c>
      <c r="C5" s="29" t="s">
        <v>58</v>
      </c>
      <c r="D5" s="29" t="s">
        <v>248</v>
      </c>
      <c r="E5" s="29" t="s">
        <v>249</v>
      </c>
      <c r="F5" s="29" t="s">
        <v>250</v>
      </c>
      <c r="G5" s="28">
        <f>+ROW(FormularioFODA!B6)</f>
        <v>6</v>
      </c>
      <c r="H5" s="29" t="s">
        <v>251</v>
      </c>
      <c r="I5" s="29" t="s">
        <v>252</v>
      </c>
    </row>
    <row r="6" spans="2:9" ht="54" customHeight="1" x14ac:dyDescent="0.25">
      <c r="B6" s="28" t="s">
        <v>253</v>
      </c>
      <c r="C6" s="29" t="s">
        <v>58</v>
      </c>
      <c r="D6" s="29" t="s">
        <v>254</v>
      </c>
      <c r="E6" s="29" t="s">
        <v>255</v>
      </c>
      <c r="F6" s="29" t="s">
        <v>256</v>
      </c>
      <c r="G6" s="28">
        <f>+ROW(FormularioFODA!B7)</f>
        <v>7</v>
      </c>
      <c r="H6" s="29" t="s">
        <v>251</v>
      </c>
      <c r="I6" s="29" t="s">
        <v>257</v>
      </c>
    </row>
    <row r="7" spans="2:9" ht="54" customHeight="1" x14ac:dyDescent="0.25">
      <c r="B7" s="28" t="s">
        <v>258</v>
      </c>
      <c r="C7" s="29" t="s">
        <v>58</v>
      </c>
      <c r="D7" s="29" t="s">
        <v>259</v>
      </c>
      <c r="E7" s="29" t="s">
        <v>260</v>
      </c>
      <c r="F7" s="29" t="s">
        <v>261</v>
      </c>
      <c r="G7" s="28">
        <f>+ROW(FormularioFODA!B8)</f>
        <v>8</v>
      </c>
      <c r="H7" s="29" t="s">
        <v>251</v>
      </c>
      <c r="I7" s="29" t="s">
        <v>262</v>
      </c>
    </row>
    <row r="8" spans="2:9" ht="78.75" customHeight="1" x14ac:dyDescent="0.25">
      <c r="B8" s="28" t="s">
        <v>263</v>
      </c>
      <c r="C8" s="29" t="s">
        <v>58</v>
      </c>
      <c r="D8" s="29" t="s">
        <v>264</v>
      </c>
      <c r="E8" s="29" t="s">
        <v>265</v>
      </c>
      <c r="F8" s="29" t="s">
        <v>266</v>
      </c>
      <c r="G8" s="28">
        <f>+ROW(FormularioFODA!B9)</f>
        <v>9</v>
      </c>
      <c r="H8" s="29" t="s">
        <v>251</v>
      </c>
      <c r="I8" s="29" t="s">
        <v>267</v>
      </c>
    </row>
    <row r="9" spans="2:9" ht="54" customHeight="1" x14ac:dyDescent="0.25">
      <c r="B9" s="28" t="s">
        <v>268</v>
      </c>
      <c r="C9" s="29" t="s">
        <v>58</v>
      </c>
      <c r="D9" s="29" t="s">
        <v>269</v>
      </c>
      <c r="E9" s="29" t="s">
        <v>270</v>
      </c>
      <c r="F9" s="29" t="s">
        <v>271</v>
      </c>
      <c r="G9" s="28">
        <f>+ROW(FormularioFODA!B10)</f>
        <v>10</v>
      </c>
      <c r="H9" s="29" t="s">
        <v>251</v>
      </c>
      <c r="I9" s="29" t="s">
        <v>272</v>
      </c>
    </row>
    <row r="10" spans="2:9" ht="41.25" customHeight="1" x14ac:dyDescent="0.25">
      <c r="B10" s="28" t="s">
        <v>273</v>
      </c>
      <c r="C10" s="29" t="s">
        <v>61</v>
      </c>
      <c r="D10" s="29" t="s">
        <v>274</v>
      </c>
      <c r="E10" s="29" t="s">
        <v>275</v>
      </c>
      <c r="F10" s="29" t="s">
        <v>276</v>
      </c>
      <c r="G10" s="28">
        <f>+ROW(FormularioFODA!B13)</f>
        <v>13</v>
      </c>
      <c r="H10" s="29" t="s">
        <v>277</v>
      </c>
      <c r="I10" s="29" t="s">
        <v>278</v>
      </c>
    </row>
    <row r="11" spans="2:9" ht="41.25" customHeight="1" x14ac:dyDescent="0.25">
      <c r="B11" s="28" t="s">
        <v>279</v>
      </c>
      <c r="C11" s="29" t="s">
        <v>61</v>
      </c>
      <c r="D11" s="29" t="s">
        <v>280</v>
      </c>
      <c r="E11" s="29" t="s">
        <v>281</v>
      </c>
      <c r="F11" s="29" t="s">
        <v>282</v>
      </c>
      <c r="G11" s="28">
        <f>+ROW(FormularioFODA!B14)</f>
        <v>14</v>
      </c>
      <c r="H11" s="29" t="s">
        <v>277</v>
      </c>
      <c r="I11" s="29" t="s">
        <v>278</v>
      </c>
    </row>
    <row r="12" spans="2:9" ht="41.25" customHeight="1" x14ac:dyDescent="0.25">
      <c r="B12" s="28" t="s">
        <v>283</v>
      </c>
      <c r="C12" s="29" t="s">
        <v>61</v>
      </c>
      <c r="D12" s="29" t="s">
        <v>284</v>
      </c>
      <c r="E12" s="29" t="s">
        <v>285</v>
      </c>
      <c r="F12" s="29" t="s">
        <v>286</v>
      </c>
      <c r="G12" s="28">
        <f>+ROW(FormularioFODA!B15)</f>
        <v>15</v>
      </c>
      <c r="H12" s="29" t="s">
        <v>277</v>
      </c>
      <c r="I12" s="29" t="s">
        <v>278</v>
      </c>
    </row>
    <row r="13" spans="2:9" ht="41.25" customHeight="1" x14ac:dyDescent="0.25">
      <c r="B13" s="28" t="s">
        <v>287</v>
      </c>
      <c r="C13" s="29" t="s">
        <v>61</v>
      </c>
      <c r="D13" s="29" t="s">
        <v>288</v>
      </c>
      <c r="E13" s="29" t="s">
        <v>289</v>
      </c>
      <c r="F13" s="29" t="s">
        <v>290</v>
      </c>
      <c r="G13" s="28">
        <f>+ROW(FormularioFODA!B16)</f>
        <v>16</v>
      </c>
      <c r="H13" s="29" t="s">
        <v>277</v>
      </c>
      <c r="I13" s="29" t="s">
        <v>278</v>
      </c>
    </row>
    <row r="14" spans="2:9" ht="41.25" customHeight="1" x14ac:dyDescent="0.25">
      <c r="B14" s="28" t="s">
        <v>291</v>
      </c>
      <c r="C14" s="29" t="s">
        <v>61</v>
      </c>
      <c r="D14" s="29" t="s">
        <v>292</v>
      </c>
      <c r="E14" s="29" t="s">
        <v>293</v>
      </c>
      <c r="F14" s="29" t="s">
        <v>294</v>
      </c>
      <c r="G14" s="28">
        <f>+ROW(FormularioFODA!B17)</f>
        <v>17</v>
      </c>
      <c r="H14" s="29" t="s">
        <v>277</v>
      </c>
      <c r="I14" s="29" t="s">
        <v>278</v>
      </c>
    </row>
    <row r="15" spans="2:9" ht="41.25" customHeight="1" x14ac:dyDescent="0.25">
      <c r="B15" s="28" t="s">
        <v>295</v>
      </c>
      <c r="C15" s="29" t="s">
        <v>61</v>
      </c>
      <c r="D15" s="29" t="s">
        <v>296</v>
      </c>
      <c r="E15" s="29" t="s">
        <v>297</v>
      </c>
      <c r="F15" s="29" t="s">
        <v>298</v>
      </c>
      <c r="G15" s="28">
        <f>+ROW(FormularioFODA!B18)</f>
        <v>18</v>
      </c>
      <c r="H15" s="29" t="s">
        <v>277</v>
      </c>
      <c r="I15" s="29" t="s">
        <v>278</v>
      </c>
    </row>
    <row r="16" spans="2:9" ht="41.25" customHeight="1" x14ac:dyDescent="0.25">
      <c r="B16" s="28" t="s">
        <v>299</v>
      </c>
      <c r="C16" s="29" t="s">
        <v>61</v>
      </c>
      <c r="D16" s="29" t="s">
        <v>300</v>
      </c>
      <c r="E16" s="29" t="s">
        <v>301</v>
      </c>
      <c r="F16" s="29" t="s">
        <v>302</v>
      </c>
      <c r="G16" s="28">
        <f>+ROW(FormularioFODA!B19)</f>
        <v>19</v>
      </c>
      <c r="H16" s="29" t="s">
        <v>277</v>
      </c>
      <c r="I16" s="29" t="s">
        <v>278</v>
      </c>
    </row>
    <row r="17" spans="2:9" ht="54" customHeight="1" x14ac:dyDescent="0.25">
      <c r="B17" s="28" t="s">
        <v>303</v>
      </c>
      <c r="C17" s="29" t="s">
        <v>64</v>
      </c>
      <c r="D17" s="29" t="s">
        <v>304</v>
      </c>
      <c r="E17" s="29" t="s">
        <v>305</v>
      </c>
      <c r="F17" s="29" t="s">
        <v>306</v>
      </c>
      <c r="G17" s="28">
        <f>+ROW(FormularioFODA!B22)</f>
        <v>22</v>
      </c>
      <c r="H17" s="29" t="s">
        <v>307</v>
      </c>
      <c r="I17" s="29" t="s">
        <v>308</v>
      </c>
    </row>
    <row r="18" spans="2:9" ht="54" customHeight="1" x14ac:dyDescent="0.25">
      <c r="B18" s="28" t="s">
        <v>309</v>
      </c>
      <c r="C18" s="29" t="s">
        <v>64</v>
      </c>
      <c r="D18" s="29" t="s">
        <v>310</v>
      </c>
      <c r="E18" s="29" t="s">
        <v>311</v>
      </c>
      <c r="F18" s="29" t="s">
        <v>312</v>
      </c>
      <c r="G18" s="28">
        <f>+ROW(FormularioFODA!B23)</f>
        <v>23</v>
      </c>
      <c r="H18" s="29" t="s">
        <v>307</v>
      </c>
      <c r="I18" s="29" t="s">
        <v>313</v>
      </c>
    </row>
    <row r="19" spans="2:9" ht="41.25" customHeight="1" x14ac:dyDescent="0.25">
      <c r="B19" s="28" t="s">
        <v>314</v>
      </c>
      <c r="C19" s="29" t="s">
        <v>64</v>
      </c>
      <c r="D19" s="29" t="s">
        <v>315</v>
      </c>
      <c r="E19" s="29" t="s">
        <v>316</v>
      </c>
      <c r="F19" s="29" t="s">
        <v>317</v>
      </c>
      <c r="G19" s="28">
        <f>+ROW(FormularioFODA!B24)</f>
        <v>24</v>
      </c>
      <c r="H19" s="29" t="s">
        <v>307</v>
      </c>
      <c r="I19" s="29" t="s">
        <v>318</v>
      </c>
    </row>
    <row r="20" spans="2:9" ht="41.25" customHeight="1" x14ac:dyDescent="0.25">
      <c r="B20" s="28" t="s">
        <v>319</v>
      </c>
      <c r="C20" s="29" t="s">
        <v>64</v>
      </c>
      <c r="D20" s="29" t="s">
        <v>320</v>
      </c>
      <c r="E20" s="29" t="s">
        <v>321</v>
      </c>
      <c r="F20" s="29" t="s">
        <v>322</v>
      </c>
      <c r="G20" s="28">
        <f>+ROW(FormularioFODA!B25)</f>
        <v>25</v>
      </c>
      <c r="H20" s="29" t="s">
        <v>307</v>
      </c>
      <c r="I20" s="29" t="s">
        <v>323</v>
      </c>
    </row>
    <row r="21" spans="2:9" ht="54" customHeight="1" x14ac:dyDescent="0.25">
      <c r="B21" s="28" t="s">
        <v>324</v>
      </c>
      <c r="C21" s="29" t="s">
        <v>64</v>
      </c>
      <c r="D21" s="29" t="s">
        <v>325</v>
      </c>
      <c r="E21" s="29" t="s">
        <v>326</v>
      </c>
      <c r="F21" s="29" t="s">
        <v>327</v>
      </c>
      <c r="G21" s="28">
        <f>+ROW(FormularioFODA!B26)</f>
        <v>26</v>
      </c>
      <c r="H21" s="29" t="s">
        <v>307</v>
      </c>
      <c r="I21" s="29" t="s">
        <v>328</v>
      </c>
    </row>
    <row r="22" spans="2:9" ht="41.25" customHeight="1" x14ac:dyDescent="0.25">
      <c r="B22" s="28" t="s">
        <v>329</v>
      </c>
      <c r="C22" s="29" t="s">
        <v>67</v>
      </c>
      <c r="D22" s="29" t="s">
        <v>330</v>
      </c>
      <c r="E22" s="29" t="s">
        <v>331</v>
      </c>
      <c r="F22" s="29" t="s">
        <v>332</v>
      </c>
      <c r="G22" s="28">
        <f>+ROW(FormularioFODA!B29)</f>
        <v>29</v>
      </c>
      <c r="H22" s="29" t="s">
        <v>333</v>
      </c>
      <c r="I22" s="29" t="s">
        <v>334</v>
      </c>
    </row>
    <row r="23" spans="2:9" ht="41.25" customHeight="1" x14ac:dyDescent="0.25">
      <c r="B23" s="28" t="s">
        <v>335</v>
      </c>
      <c r="C23" s="29" t="s">
        <v>67</v>
      </c>
      <c r="D23" s="29" t="s">
        <v>336</v>
      </c>
      <c r="E23" s="29" t="s">
        <v>337</v>
      </c>
      <c r="F23" s="29" t="s">
        <v>338</v>
      </c>
      <c r="G23" s="28">
        <f>+ROW(FormularioFODA!B30)</f>
        <v>30</v>
      </c>
      <c r="H23" s="29" t="s">
        <v>333</v>
      </c>
      <c r="I23" s="29" t="s">
        <v>339</v>
      </c>
    </row>
    <row r="24" spans="2:9" ht="54" customHeight="1" x14ac:dyDescent="0.25">
      <c r="B24" s="28" t="s">
        <v>340</v>
      </c>
      <c r="C24" s="29" t="s">
        <v>67</v>
      </c>
      <c r="D24" s="29" t="s">
        <v>341</v>
      </c>
      <c r="E24" s="29" t="s">
        <v>342</v>
      </c>
      <c r="F24" s="29" t="s">
        <v>343</v>
      </c>
      <c r="G24" s="28">
        <f>+ROW(FormularioFODA!B31)</f>
        <v>31</v>
      </c>
      <c r="H24" s="29" t="s">
        <v>333</v>
      </c>
      <c r="I24" s="29" t="s">
        <v>344</v>
      </c>
    </row>
    <row r="25" spans="2:9" ht="41.25" customHeight="1" x14ac:dyDescent="0.25">
      <c r="B25" s="28" t="s">
        <v>345</v>
      </c>
      <c r="C25" s="29" t="s">
        <v>67</v>
      </c>
      <c r="D25" s="29" t="s">
        <v>346</v>
      </c>
      <c r="E25" s="29" t="s">
        <v>347</v>
      </c>
      <c r="F25" s="29" t="s">
        <v>348</v>
      </c>
      <c r="G25" s="28">
        <f>+ROW(FormularioFODA!B32)</f>
        <v>32</v>
      </c>
      <c r="H25" s="29" t="s">
        <v>333</v>
      </c>
      <c r="I25" s="29" t="s">
        <v>349</v>
      </c>
    </row>
    <row r="26" spans="2:9" ht="41.25" customHeight="1" x14ac:dyDescent="0.25">
      <c r="B26" s="28" t="s">
        <v>350</v>
      </c>
      <c r="C26" s="29" t="s">
        <v>67</v>
      </c>
      <c r="D26" s="29" t="s">
        <v>351</v>
      </c>
      <c r="E26" s="29" t="s">
        <v>352</v>
      </c>
      <c r="F26" s="29" t="s">
        <v>353</v>
      </c>
      <c r="G26" s="28">
        <f>+ROW(FormularioFODA!B33)</f>
        <v>33</v>
      </c>
      <c r="H26" s="29" t="s">
        <v>333</v>
      </c>
      <c r="I26" s="29" t="s">
        <v>349</v>
      </c>
    </row>
    <row r="27" spans="2:9" ht="54" customHeight="1" x14ac:dyDescent="0.25">
      <c r="B27" s="28" t="s">
        <v>354</v>
      </c>
      <c r="C27" s="29" t="s">
        <v>70</v>
      </c>
      <c r="D27" s="29" t="s">
        <v>355</v>
      </c>
      <c r="E27" s="29" t="s">
        <v>356</v>
      </c>
      <c r="F27" s="29" t="s">
        <v>357</v>
      </c>
      <c r="G27" s="28">
        <f>+ROW(FormularioFODA!B36)</f>
        <v>36</v>
      </c>
      <c r="H27" s="29" t="s">
        <v>358</v>
      </c>
      <c r="I27" s="29" t="s">
        <v>349</v>
      </c>
    </row>
    <row r="28" spans="2:9" ht="54" customHeight="1" x14ac:dyDescent="0.25">
      <c r="B28" s="28" t="s">
        <v>359</v>
      </c>
      <c r="C28" s="29" t="s">
        <v>70</v>
      </c>
      <c r="D28" s="29" t="s">
        <v>360</v>
      </c>
      <c r="E28" s="29" t="s">
        <v>361</v>
      </c>
      <c r="F28" s="29" t="s">
        <v>362</v>
      </c>
      <c r="G28" s="28">
        <f>+ROW(FormularioFODA!B37)</f>
        <v>37</v>
      </c>
      <c r="H28" s="29" t="s">
        <v>358</v>
      </c>
      <c r="I28" s="29" t="s">
        <v>363</v>
      </c>
    </row>
    <row r="29" spans="2:9" ht="54" customHeight="1" x14ac:dyDescent="0.25">
      <c r="B29" s="28" t="s">
        <v>364</v>
      </c>
      <c r="C29" s="29" t="s">
        <v>70</v>
      </c>
      <c r="D29" s="29" t="s">
        <v>365</v>
      </c>
      <c r="E29" s="29" t="s">
        <v>366</v>
      </c>
      <c r="F29" s="29" t="s">
        <v>367</v>
      </c>
      <c r="G29" s="28">
        <f>+ROW(FormularioFODA!B38)</f>
        <v>38</v>
      </c>
      <c r="H29" s="29" t="s">
        <v>358</v>
      </c>
      <c r="I29" s="29" t="s">
        <v>368</v>
      </c>
    </row>
    <row r="30" spans="2:9" ht="54" customHeight="1" x14ac:dyDescent="0.25">
      <c r="B30" s="28" t="s">
        <v>369</v>
      </c>
      <c r="C30" s="29" t="s">
        <v>70</v>
      </c>
      <c r="D30" s="29" t="s">
        <v>370</v>
      </c>
      <c r="E30" s="29" t="s">
        <v>371</v>
      </c>
      <c r="F30" s="29" t="s">
        <v>372</v>
      </c>
      <c r="G30" s="28">
        <f>+ROW(FormularioFODA!B39)</f>
        <v>39</v>
      </c>
      <c r="H30" s="29" t="s">
        <v>358</v>
      </c>
      <c r="I30" s="29" t="s">
        <v>373</v>
      </c>
    </row>
    <row r="31" spans="2:9" ht="54" customHeight="1" x14ac:dyDescent="0.25">
      <c r="B31" s="28" t="s">
        <v>374</v>
      </c>
      <c r="C31" s="29" t="s">
        <v>70</v>
      </c>
      <c r="D31" s="29" t="s">
        <v>375</v>
      </c>
      <c r="E31" s="29" t="s">
        <v>376</v>
      </c>
      <c r="F31" s="29" t="s">
        <v>377</v>
      </c>
      <c r="G31" s="28">
        <f>+ROW(FormularioFODA!B40)</f>
        <v>40</v>
      </c>
      <c r="H31" s="29" t="s">
        <v>358</v>
      </c>
      <c r="I31" s="29" t="s">
        <v>349</v>
      </c>
    </row>
    <row r="32" spans="2:9" ht="54" customHeight="1" x14ac:dyDescent="0.25">
      <c r="B32" s="28" t="s">
        <v>378</v>
      </c>
      <c r="C32" s="29" t="s">
        <v>70</v>
      </c>
      <c r="D32" s="29" t="s">
        <v>379</v>
      </c>
      <c r="E32" s="29" t="s">
        <v>380</v>
      </c>
      <c r="F32" s="29" t="s">
        <v>381</v>
      </c>
      <c r="G32" s="28">
        <f>+ROW(FormularioFODA!B41)</f>
        <v>41</v>
      </c>
      <c r="H32" s="29" t="s">
        <v>358</v>
      </c>
      <c r="I32" s="29" t="s">
        <v>382</v>
      </c>
    </row>
    <row r="33" spans="2:9" ht="41.25" customHeight="1" x14ac:dyDescent="0.25">
      <c r="B33" s="28" t="s">
        <v>383</v>
      </c>
      <c r="C33" s="29" t="s">
        <v>73</v>
      </c>
      <c r="D33" s="29" t="s">
        <v>384</v>
      </c>
      <c r="E33" s="29" t="s">
        <v>385</v>
      </c>
      <c r="F33" s="29" t="s">
        <v>386</v>
      </c>
      <c r="G33" s="28">
        <f>+ROW(FormularioFODA!B45)</f>
        <v>45</v>
      </c>
      <c r="H33" s="29" t="s">
        <v>387</v>
      </c>
      <c r="I33" s="29" t="s">
        <v>278</v>
      </c>
    </row>
    <row r="34" spans="2:9" ht="41.25" customHeight="1" x14ac:dyDescent="0.25">
      <c r="B34" s="28" t="s">
        <v>388</v>
      </c>
      <c r="C34" s="29" t="s">
        <v>73</v>
      </c>
      <c r="D34" s="29" t="s">
        <v>389</v>
      </c>
      <c r="E34" s="29" t="s">
        <v>390</v>
      </c>
      <c r="F34" s="29" t="s">
        <v>391</v>
      </c>
      <c r="G34" s="28">
        <f>+ROW(FormularioFODA!B46)</f>
        <v>46</v>
      </c>
      <c r="H34" s="29" t="s">
        <v>387</v>
      </c>
      <c r="I34" s="29" t="s">
        <v>278</v>
      </c>
    </row>
    <row r="35" spans="2:9" ht="41.25" customHeight="1" x14ac:dyDescent="0.25">
      <c r="B35" s="28" t="s">
        <v>392</v>
      </c>
      <c r="C35" s="29" t="s">
        <v>73</v>
      </c>
      <c r="D35" s="29" t="s">
        <v>393</v>
      </c>
      <c r="E35" s="29" t="s">
        <v>394</v>
      </c>
      <c r="F35" s="29" t="s">
        <v>395</v>
      </c>
      <c r="G35" s="28">
        <f>+ROW(FormularioFODA!B47)</f>
        <v>47</v>
      </c>
      <c r="H35" s="29" t="s">
        <v>387</v>
      </c>
      <c r="I35" s="29" t="s">
        <v>278</v>
      </c>
    </row>
    <row r="36" spans="2:9" ht="41.25" customHeight="1" x14ac:dyDescent="0.25">
      <c r="B36" s="28" t="s">
        <v>396</v>
      </c>
      <c r="C36" s="29" t="s">
        <v>73</v>
      </c>
      <c r="D36" s="29" t="s">
        <v>397</v>
      </c>
      <c r="E36" s="29" t="s">
        <v>398</v>
      </c>
      <c r="F36" s="29" t="s">
        <v>399</v>
      </c>
      <c r="G36" s="28">
        <f>+ROW(FormularioFODA!B48)</f>
        <v>48</v>
      </c>
      <c r="H36" s="29" t="s">
        <v>387</v>
      </c>
      <c r="I36" s="29" t="s">
        <v>278</v>
      </c>
    </row>
    <row r="37" spans="2:9" ht="41.25" customHeight="1" x14ac:dyDescent="0.25">
      <c r="B37" s="28" t="s">
        <v>400</v>
      </c>
      <c r="C37" s="29" t="s">
        <v>73</v>
      </c>
      <c r="D37" s="29" t="s">
        <v>401</v>
      </c>
      <c r="E37" s="29" t="s">
        <v>402</v>
      </c>
      <c r="F37" s="29" t="s">
        <v>403</v>
      </c>
      <c r="G37" s="28">
        <f>+ROW(FormularioFODA!B49)</f>
        <v>49</v>
      </c>
      <c r="H37" s="29" t="s">
        <v>387</v>
      </c>
      <c r="I37" s="29" t="s">
        <v>278</v>
      </c>
    </row>
    <row r="38" spans="2:9" ht="41.25" customHeight="1" x14ac:dyDescent="0.25">
      <c r="B38" s="28" t="s">
        <v>404</v>
      </c>
      <c r="C38" s="29" t="s">
        <v>73</v>
      </c>
      <c r="D38" s="29" t="s">
        <v>405</v>
      </c>
      <c r="E38" s="29" t="s">
        <v>406</v>
      </c>
      <c r="F38" s="29" t="s">
        <v>407</v>
      </c>
      <c r="G38" s="28">
        <f>+ROW(FormularioFODA!B50)</f>
        <v>50</v>
      </c>
      <c r="H38" s="29" t="s">
        <v>387</v>
      </c>
      <c r="I38" s="29" t="s">
        <v>278</v>
      </c>
    </row>
    <row r="39" spans="2:9" ht="41.25" customHeight="1" x14ac:dyDescent="0.25">
      <c r="B39" s="28" t="s">
        <v>408</v>
      </c>
      <c r="C39" s="29" t="s">
        <v>73</v>
      </c>
      <c r="D39" s="29" t="s">
        <v>409</v>
      </c>
      <c r="E39" s="29" t="s">
        <v>410</v>
      </c>
      <c r="F39" s="29" t="s">
        <v>411</v>
      </c>
      <c r="G39" s="28">
        <f>+ROW(FormularioFODA!B51)</f>
        <v>51</v>
      </c>
      <c r="H39" s="29" t="s">
        <v>387</v>
      </c>
      <c r="I39" s="29" t="s">
        <v>278</v>
      </c>
    </row>
    <row r="40" spans="2:9" ht="41.25" customHeight="1" x14ac:dyDescent="0.25">
      <c r="B40" s="28" t="s">
        <v>412</v>
      </c>
      <c r="C40" s="29" t="s">
        <v>73</v>
      </c>
      <c r="D40" s="29" t="s">
        <v>413</v>
      </c>
      <c r="E40" s="29" t="s">
        <v>414</v>
      </c>
      <c r="F40" s="29" t="s">
        <v>415</v>
      </c>
      <c r="G40" s="28">
        <f>+ROW(FormularioFODA!B52)</f>
        <v>52</v>
      </c>
      <c r="H40" s="29" t="s">
        <v>387</v>
      </c>
      <c r="I40" s="29" t="s">
        <v>278</v>
      </c>
    </row>
    <row r="41" spans="2:9" ht="41.25" customHeight="1" x14ac:dyDescent="0.25">
      <c r="B41" s="28" t="s">
        <v>416</v>
      </c>
      <c r="C41" s="29" t="s">
        <v>76</v>
      </c>
      <c r="D41" s="29" t="s">
        <v>417</v>
      </c>
      <c r="E41" s="29" t="s">
        <v>418</v>
      </c>
      <c r="F41" s="29" t="s">
        <v>419</v>
      </c>
      <c r="G41" s="28">
        <f>+ROW(FormularioFODA!B55)</f>
        <v>55</v>
      </c>
      <c r="H41" s="29" t="s">
        <v>420</v>
      </c>
      <c r="I41" s="29" t="s">
        <v>278</v>
      </c>
    </row>
    <row r="42" spans="2:9" ht="41.25" customHeight="1" x14ac:dyDescent="0.25">
      <c r="B42" s="28" t="s">
        <v>421</v>
      </c>
      <c r="C42" s="29" t="s">
        <v>76</v>
      </c>
      <c r="D42" s="29" t="s">
        <v>422</v>
      </c>
      <c r="E42" s="29" t="s">
        <v>423</v>
      </c>
      <c r="F42" s="29" t="s">
        <v>424</v>
      </c>
      <c r="G42" s="28">
        <f>+ROW(FormularioFODA!B56)</f>
        <v>56</v>
      </c>
      <c r="H42" s="29" t="s">
        <v>420</v>
      </c>
      <c r="I42" s="29" t="s">
        <v>278</v>
      </c>
    </row>
    <row r="43" spans="2:9" ht="41.25" customHeight="1" x14ac:dyDescent="0.25">
      <c r="B43" s="28" t="s">
        <v>425</v>
      </c>
      <c r="C43" s="29" t="s">
        <v>76</v>
      </c>
      <c r="D43" s="29" t="s">
        <v>426</v>
      </c>
      <c r="E43" s="29" t="s">
        <v>427</v>
      </c>
      <c r="F43" s="29" t="s">
        <v>428</v>
      </c>
      <c r="G43" s="28">
        <f>+ROW(FormularioFODA!B57)</f>
        <v>57</v>
      </c>
      <c r="H43" s="29" t="s">
        <v>420</v>
      </c>
      <c r="I43" s="29" t="s">
        <v>278</v>
      </c>
    </row>
    <row r="44" spans="2:9" ht="41.25" customHeight="1" x14ac:dyDescent="0.25">
      <c r="B44" s="28" t="s">
        <v>429</v>
      </c>
      <c r="C44" s="29" t="s">
        <v>76</v>
      </c>
      <c r="D44" s="29" t="s">
        <v>430</v>
      </c>
      <c r="E44" s="29" t="s">
        <v>431</v>
      </c>
      <c r="F44" s="29" t="s">
        <v>432</v>
      </c>
      <c r="G44" s="28">
        <f>+ROW(FormularioFODA!B58)</f>
        <v>58</v>
      </c>
      <c r="H44" s="29" t="s">
        <v>420</v>
      </c>
      <c r="I44" s="29" t="s">
        <v>278</v>
      </c>
    </row>
    <row r="45" spans="2:9" ht="41.25" customHeight="1" x14ac:dyDescent="0.25">
      <c r="B45" s="28" t="s">
        <v>433</v>
      </c>
      <c r="C45" s="29" t="s">
        <v>76</v>
      </c>
      <c r="D45" s="29" t="s">
        <v>434</v>
      </c>
      <c r="E45" s="29" t="s">
        <v>435</v>
      </c>
      <c r="F45" s="29" t="s">
        <v>436</v>
      </c>
      <c r="G45" s="28">
        <f>+ROW(FormularioFODA!B59)</f>
        <v>59</v>
      </c>
      <c r="H45" s="29" t="s">
        <v>420</v>
      </c>
      <c r="I45" s="29" t="s">
        <v>278</v>
      </c>
    </row>
    <row r="46" spans="2:9" ht="41.25" customHeight="1" x14ac:dyDescent="0.25">
      <c r="B46" s="28" t="s">
        <v>437</v>
      </c>
      <c r="C46" s="29" t="s">
        <v>76</v>
      </c>
      <c r="D46" s="29" t="s">
        <v>438</v>
      </c>
      <c r="E46" s="29" t="s">
        <v>439</v>
      </c>
      <c r="F46" s="29" t="s">
        <v>440</v>
      </c>
      <c r="G46" s="28">
        <f>+ROW(FormularioFODA!B60)</f>
        <v>60</v>
      </c>
      <c r="H46" s="29" t="s">
        <v>420</v>
      </c>
      <c r="I46" s="29" t="s">
        <v>278</v>
      </c>
    </row>
    <row r="47" spans="2:9" ht="41.25" customHeight="1" x14ac:dyDescent="0.25">
      <c r="B47" s="28" t="s">
        <v>441</v>
      </c>
      <c r="C47" s="29" t="s">
        <v>76</v>
      </c>
      <c r="D47" s="29" t="s">
        <v>442</v>
      </c>
      <c r="E47" s="29" t="s">
        <v>443</v>
      </c>
      <c r="F47" s="29" t="s">
        <v>444</v>
      </c>
      <c r="G47" s="28">
        <f>+ROW(FormularioFODA!B61)</f>
        <v>61</v>
      </c>
      <c r="H47" s="29" t="s">
        <v>420</v>
      </c>
      <c r="I47" s="29" t="s">
        <v>278</v>
      </c>
    </row>
    <row r="48" spans="2:9" ht="41.25" customHeight="1" x14ac:dyDescent="0.25">
      <c r="B48" s="28" t="s">
        <v>445</v>
      </c>
      <c r="C48" s="29" t="s">
        <v>76</v>
      </c>
      <c r="D48" s="29" t="s">
        <v>446</v>
      </c>
      <c r="E48" s="29" t="s">
        <v>447</v>
      </c>
      <c r="F48" s="29" t="s">
        <v>448</v>
      </c>
      <c r="G48" s="28">
        <f>+ROW(FormularioFODA!B62)</f>
        <v>62</v>
      </c>
      <c r="H48" s="29" t="s">
        <v>420</v>
      </c>
      <c r="I48" s="29" t="s">
        <v>278</v>
      </c>
    </row>
    <row r="49" spans="2:9" ht="41.25" customHeight="1" x14ac:dyDescent="0.25">
      <c r="B49" s="28" t="s">
        <v>449</v>
      </c>
      <c r="C49" s="29" t="s">
        <v>76</v>
      </c>
      <c r="D49" s="29" t="s">
        <v>450</v>
      </c>
      <c r="E49" s="29" t="s">
        <v>451</v>
      </c>
      <c r="F49" s="29" t="s">
        <v>452</v>
      </c>
      <c r="G49" s="28">
        <f>+ROW(FormularioFODA!B63)</f>
        <v>63</v>
      </c>
      <c r="H49" s="29" t="s">
        <v>420</v>
      </c>
      <c r="I49" s="29" t="s">
        <v>278</v>
      </c>
    </row>
    <row r="50" spans="2:9" ht="41.25" customHeight="1" x14ac:dyDescent="0.25">
      <c r="B50" s="28" t="s">
        <v>453</v>
      </c>
      <c r="C50" s="29" t="s">
        <v>79</v>
      </c>
      <c r="D50" s="29" t="s">
        <v>454</v>
      </c>
      <c r="E50" s="29" t="s">
        <v>455</v>
      </c>
      <c r="F50" s="29" t="s">
        <v>456</v>
      </c>
      <c r="G50" s="28">
        <f>+ROW(FormularioFODA!B66)</f>
        <v>66</v>
      </c>
      <c r="H50" s="29" t="s">
        <v>457</v>
      </c>
      <c r="I50" s="29" t="s">
        <v>278</v>
      </c>
    </row>
    <row r="51" spans="2:9" ht="41.25" customHeight="1" x14ac:dyDescent="0.25">
      <c r="B51" s="28" t="s">
        <v>458</v>
      </c>
      <c r="C51" s="29" t="s">
        <v>79</v>
      </c>
      <c r="D51" s="29" t="s">
        <v>459</v>
      </c>
      <c r="E51" s="29" t="s">
        <v>460</v>
      </c>
      <c r="F51" s="29" t="s">
        <v>461</v>
      </c>
      <c r="G51" s="28">
        <f>+ROW(FormularioFODA!B67)</f>
        <v>67</v>
      </c>
      <c r="H51" s="29" t="s">
        <v>457</v>
      </c>
      <c r="I51" s="29" t="s">
        <v>278</v>
      </c>
    </row>
    <row r="52" spans="2:9" ht="41.25" customHeight="1" x14ac:dyDescent="0.25">
      <c r="B52" s="28" t="s">
        <v>462</v>
      </c>
      <c r="C52" s="29" t="s">
        <v>79</v>
      </c>
      <c r="D52" s="29" t="s">
        <v>463</v>
      </c>
      <c r="E52" s="29" t="s">
        <v>464</v>
      </c>
      <c r="F52" s="29" t="s">
        <v>465</v>
      </c>
      <c r="G52" s="28">
        <f>+ROW(FormularioFODA!B68)</f>
        <v>68</v>
      </c>
      <c r="H52" s="29" t="s">
        <v>457</v>
      </c>
      <c r="I52" s="29" t="s">
        <v>278</v>
      </c>
    </row>
    <row r="53" spans="2:9" ht="41.25" customHeight="1" x14ac:dyDescent="0.25">
      <c r="B53" s="28" t="s">
        <v>466</v>
      </c>
      <c r="C53" s="29" t="s">
        <v>79</v>
      </c>
      <c r="D53" s="29" t="s">
        <v>467</v>
      </c>
      <c r="E53" s="29" t="s">
        <v>468</v>
      </c>
      <c r="F53" s="29" t="s">
        <v>469</v>
      </c>
      <c r="G53" s="28">
        <f>+ROW(FormularioFODA!B69)</f>
        <v>69</v>
      </c>
      <c r="H53" s="29" t="s">
        <v>457</v>
      </c>
      <c r="I53" s="29" t="s">
        <v>278</v>
      </c>
    </row>
    <row r="54" spans="2:9" ht="41.25" customHeight="1" x14ac:dyDescent="0.25">
      <c r="B54" s="28" t="s">
        <v>470</v>
      </c>
      <c r="C54" s="29" t="s">
        <v>79</v>
      </c>
      <c r="D54" s="29" t="s">
        <v>471</v>
      </c>
      <c r="E54" s="29" t="s">
        <v>472</v>
      </c>
      <c r="F54" s="29" t="s">
        <v>473</v>
      </c>
      <c r="G54" s="28">
        <f>+ROW(FormularioFODA!B70)</f>
        <v>70</v>
      </c>
      <c r="H54" s="29" t="s">
        <v>457</v>
      </c>
      <c r="I54" s="29" t="s">
        <v>278</v>
      </c>
    </row>
    <row r="55" spans="2:9" ht="41.25" customHeight="1" x14ac:dyDescent="0.25">
      <c r="B55" s="28" t="s">
        <v>474</v>
      </c>
      <c r="C55" s="29" t="s">
        <v>79</v>
      </c>
      <c r="D55" s="29" t="s">
        <v>475</v>
      </c>
      <c r="E55" s="29" t="s">
        <v>476</v>
      </c>
      <c r="F55" s="29" t="s">
        <v>477</v>
      </c>
      <c r="G55" s="28">
        <f>+ROW(FormularioFODA!B71)</f>
        <v>71</v>
      </c>
      <c r="H55" s="29" t="s">
        <v>457</v>
      </c>
      <c r="I55" s="29" t="s">
        <v>278</v>
      </c>
    </row>
    <row r="56" spans="2:9" ht="41.25" customHeight="1" x14ac:dyDescent="0.25">
      <c r="B56" s="28" t="s">
        <v>478</v>
      </c>
      <c r="C56" s="29" t="s">
        <v>82</v>
      </c>
      <c r="D56" s="29" t="s">
        <v>479</v>
      </c>
      <c r="E56" s="29" t="s">
        <v>480</v>
      </c>
      <c r="F56" s="29" t="s">
        <v>481</v>
      </c>
      <c r="G56" s="28">
        <f>+ROW(FormularioFODA!B74)</f>
        <v>74</v>
      </c>
      <c r="H56" s="29" t="s">
        <v>482</v>
      </c>
      <c r="I56" s="29" t="s">
        <v>278</v>
      </c>
    </row>
    <row r="57" spans="2:9" ht="41.25" customHeight="1" x14ac:dyDescent="0.25">
      <c r="B57" s="28" t="s">
        <v>483</v>
      </c>
      <c r="C57" s="29" t="s">
        <v>82</v>
      </c>
      <c r="D57" s="29" t="s">
        <v>484</v>
      </c>
      <c r="E57" s="29" t="s">
        <v>485</v>
      </c>
      <c r="F57" s="29" t="s">
        <v>486</v>
      </c>
      <c r="G57" s="28">
        <f>+ROW(FormularioFODA!B75)</f>
        <v>75</v>
      </c>
      <c r="H57" s="29" t="s">
        <v>482</v>
      </c>
      <c r="I57" s="29" t="s">
        <v>278</v>
      </c>
    </row>
    <row r="58" spans="2:9" ht="41.25" customHeight="1" x14ac:dyDescent="0.25">
      <c r="B58" s="28" t="s">
        <v>487</v>
      </c>
      <c r="C58" s="29" t="s">
        <v>82</v>
      </c>
      <c r="D58" s="29" t="s">
        <v>488</v>
      </c>
      <c r="E58" s="29" t="s">
        <v>489</v>
      </c>
      <c r="F58" s="29" t="s">
        <v>490</v>
      </c>
      <c r="G58" s="28">
        <f>+ROW(FormularioFODA!B76)</f>
        <v>76</v>
      </c>
      <c r="H58" s="29" t="s">
        <v>482</v>
      </c>
      <c r="I58" s="29" t="s">
        <v>278</v>
      </c>
    </row>
    <row r="59" spans="2:9" ht="41.25" customHeight="1" x14ac:dyDescent="0.25">
      <c r="B59" s="28" t="s">
        <v>491</v>
      </c>
      <c r="C59" s="29" t="s">
        <v>82</v>
      </c>
      <c r="D59" s="29" t="s">
        <v>492</v>
      </c>
      <c r="E59" s="29" t="s">
        <v>493</v>
      </c>
      <c r="F59" s="29" t="s">
        <v>494</v>
      </c>
      <c r="G59" s="28">
        <f>+ROW(FormularioFODA!B77)</f>
        <v>77</v>
      </c>
      <c r="H59" s="29" t="s">
        <v>482</v>
      </c>
      <c r="I59" s="29" t="s">
        <v>278</v>
      </c>
    </row>
    <row r="60" spans="2:9" ht="41.25" customHeight="1" x14ac:dyDescent="0.25">
      <c r="B60" s="28" t="s">
        <v>495</v>
      </c>
      <c r="C60" s="29" t="s">
        <v>82</v>
      </c>
      <c r="D60" s="29" t="s">
        <v>496</v>
      </c>
      <c r="E60" s="29" t="s">
        <v>497</v>
      </c>
      <c r="F60" s="29" t="s">
        <v>498</v>
      </c>
      <c r="G60" s="28">
        <f>+ROW(FormularioFODA!B78)</f>
        <v>78</v>
      </c>
      <c r="H60" s="29" t="s">
        <v>482</v>
      </c>
      <c r="I60" s="29" t="s">
        <v>278</v>
      </c>
    </row>
    <row r="61" spans="2:9" ht="41.25" customHeight="1" x14ac:dyDescent="0.25">
      <c r="B61" s="28" t="s">
        <v>499</v>
      </c>
      <c r="C61" s="29" t="s">
        <v>82</v>
      </c>
      <c r="D61" s="29" t="s">
        <v>500</v>
      </c>
      <c r="E61" s="29" t="s">
        <v>501</v>
      </c>
      <c r="F61" s="29" t="s">
        <v>502</v>
      </c>
      <c r="G61" s="28">
        <f>+ROW(FormularioFODA!B79)</f>
        <v>79</v>
      </c>
      <c r="H61" s="29" t="s">
        <v>482</v>
      </c>
      <c r="I61" s="29" t="s">
        <v>278</v>
      </c>
    </row>
    <row r="62" spans="2:9" ht="54" customHeight="1" x14ac:dyDescent="0.25">
      <c r="B62" s="28" t="s">
        <v>503</v>
      </c>
      <c r="C62" s="29" t="s">
        <v>85</v>
      </c>
      <c r="D62" s="29" t="s">
        <v>504</v>
      </c>
      <c r="E62" s="29" t="s">
        <v>505</v>
      </c>
      <c r="F62" s="29" t="s">
        <v>506</v>
      </c>
      <c r="G62" s="28">
        <f>+ROW(FormularioFODA!B83)</f>
        <v>83</v>
      </c>
      <c r="H62" s="29" t="s">
        <v>507</v>
      </c>
      <c r="I62" s="29" t="s">
        <v>278</v>
      </c>
    </row>
    <row r="63" spans="2:9" ht="54" customHeight="1" x14ac:dyDescent="0.25">
      <c r="B63" s="28" t="s">
        <v>508</v>
      </c>
      <c r="C63" s="29" t="s">
        <v>85</v>
      </c>
      <c r="D63" s="29" t="s">
        <v>509</v>
      </c>
      <c r="E63" s="29" t="s">
        <v>510</v>
      </c>
      <c r="F63" s="29" t="s">
        <v>511</v>
      </c>
      <c r="G63" s="28">
        <f>+ROW(FormularioFODA!B84)</f>
        <v>84</v>
      </c>
      <c r="H63" s="29" t="s">
        <v>507</v>
      </c>
      <c r="I63" s="29" t="s">
        <v>278</v>
      </c>
    </row>
    <row r="64" spans="2:9" ht="54" customHeight="1" x14ac:dyDescent="0.25">
      <c r="B64" s="28" t="s">
        <v>512</v>
      </c>
      <c r="C64" s="29" t="s">
        <v>85</v>
      </c>
      <c r="D64" s="29" t="s">
        <v>513</v>
      </c>
      <c r="E64" s="29" t="s">
        <v>514</v>
      </c>
      <c r="F64" s="29" t="s">
        <v>515</v>
      </c>
      <c r="G64" s="28">
        <f>+ROW(FormularioFODA!B85)</f>
        <v>85</v>
      </c>
      <c r="H64" s="29" t="s">
        <v>507</v>
      </c>
      <c r="I64" s="29" t="s">
        <v>278</v>
      </c>
    </row>
    <row r="65" spans="2:9" ht="54" customHeight="1" x14ac:dyDescent="0.25">
      <c r="B65" s="28" t="s">
        <v>516</v>
      </c>
      <c r="C65" s="29" t="s">
        <v>85</v>
      </c>
      <c r="D65" s="29" t="s">
        <v>517</v>
      </c>
      <c r="E65" s="29" t="s">
        <v>518</v>
      </c>
      <c r="F65" s="29" t="s">
        <v>519</v>
      </c>
      <c r="G65" s="28">
        <f>+ROW(FormularioFODA!B86)</f>
        <v>86</v>
      </c>
      <c r="H65" s="29" t="s">
        <v>507</v>
      </c>
      <c r="I65" s="29" t="s">
        <v>278</v>
      </c>
    </row>
    <row r="66" spans="2:9" ht="54" customHeight="1" x14ac:dyDescent="0.25">
      <c r="B66" s="28" t="s">
        <v>520</v>
      </c>
      <c r="C66" s="29" t="s">
        <v>85</v>
      </c>
      <c r="D66" s="29" t="s">
        <v>521</v>
      </c>
      <c r="E66" s="29" t="s">
        <v>522</v>
      </c>
      <c r="F66" s="29" t="s">
        <v>523</v>
      </c>
      <c r="G66" s="28">
        <f>+ROW(FormularioFODA!B87)</f>
        <v>87</v>
      </c>
      <c r="H66" s="29" t="s">
        <v>507</v>
      </c>
      <c r="I66" s="29" t="s">
        <v>278</v>
      </c>
    </row>
    <row r="67" spans="2:9" ht="54" customHeight="1" x14ac:dyDescent="0.25">
      <c r="B67" s="28" t="s">
        <v>524</v>
      </c>
      <c r="C67" s="29" t="s">
        <v>85</v>
      </c>
      <c r="D67" s="29" t="s">
        <v>525</v>
      </c>
      <c r="E67" s="29" t="s">
        <v>526</v>
      </c>
      <c r="F67" s="29" t="s">
        <v>527</v>
      </c>
      <c r="G67" s="28">
        <f>+ROW(FormularioFODA!B88)</f>
        <v>88</v>
      </c>
      <c r="H67" s="29" t="s">
        <v>507</v>
      </c>
      <c r="I67" s="29" t="s">
        <v>278</v>
      </c>
    </row>
    <row r="68" spans="2:9" ht="54" customHeight="1" x14ac:dyDescent="0.25">
      <c r="B68" s="28" t="s">
        <v>528</v>
      </c>
      <c r="C68" s="29" t="s">
        <v>85</v>
      </c>
      <c r="D68" s="29" t="s">
        <v>529</v>
      </c>
      <c r="E68" s="29" t="s">
        <v>530</v>
      </c>
      <c r="F68" s="29" t="s">
        <v>531</v>
      </c>
      <c r="G68" s="28">
        <f>+ROW(FormularioFODA!B89)</f>
        <v>89</v>
      </c>
      <c r="H68" s="29" t="s">
        <v>507</v>
      </c>
      <c r="I68" s="29" t="s">
        <v>278</v>
      </c>
    </row>
    <row r="69" spans="2:9" ht="54" customHeight="1" x14ac:dyDescent="0.25">
      <c r="B69" s="28" t="s">
        <v>532</v>
      </c>
      <c r="C69" s="29" t="s">
        <v>183</v>
      </c>
      <c r="D69" s="29" t="s">
        <v>533</v>
      </c>
      <c r="E69" s="29" t="s">
        <v>534</v>
      </c>
      <c r="F69" s="29" t="s">
        <v>535</v>
      </c>
      <c r="G69" s="28">
        <f>+ROW(FormularioFODA!B93)</f>
        <v>93</v>
      </c>
      <c r="H69" s="29" t="s">
        <v>536</v>
      </c>
      <c r="I69" s="29" t="s">
        <v>537</v>
      </c>
    </row>
    <row r="70" spans="2:9" ht="54" customHeight="1" x14ac:dyDescent="0.25">
      <c r="B70" s="28" t="s">
        <v>538</v>
      </c>
      <c r="C70" s="29" t="s">
        <v>183</v>
      </c>
      <c r="D70" s="29" t="s">
        <v>539</v>
      </c>
      <c r="E70" s="29" t="s">
        <v>540</v>
      </c>
      <c r="F70" s="29" t="s">
        <v>541</v>
      </c>
      <c r="G70" s="28">
        <f>+ROW(FormularioFODA!B94)</f>
        <v>94</v>
      </c>
      <c r="H70" s="29" t="s">
        <v>536</v>
      </c>
      <c r="I70" s="29" t="s">
        <v>537</v>
      </c>
    </row>
    <row r="71" spans="2:9" ht="54" customHeight="1" x14ac:dyDescent="0.25">
      <c r="B71" s="28" t="s">
        <v>542</v>
      </c>
      <c r="C71" s="29" t="s">
        <v>183</v>
      </c>
      <c r="D71" s="29" t="s">
        <v>543</v>
      </c>
      <c r="E71" s="29" t="s">
        <v>544</v>
      </c>
      <c r="F71" s="29" t="s">
        <v>545</v>
      </c>
      <c r="G71" s="28">
        <f>+ROW(FormularioFODA!B95)</f>
        <v>95</v>
      </c>
      <c r="H71" s="29" t="s">
        <v>536</v>
      </c>
      <c r="I71" s="29" t="s">
        <v>537</v>
      </c>
    </row>
    <row r="72" spans="2:9" ht="54" customHeight="1" x14ac:dyDescent="0.25">
      <c r="B72" s="28" t="s">
        <v>546</v>
      </c>
      <c r="C72" s="29" t="s">
        <v>183</v>
      </c>
      <c r="D72" s="29" t="s">
        <v>547</v>
      </c>
      <c r="E72" s="29" t="s">
        <v>548</v>
      </c>
      <c r="F72" s="29" t="s">
        <v>549</v>
      </c>
      <c r="G72" s="28">
        <f>+ROW(FormularioFODA!B96)</f>
        <v>96</v>
      </c>
      <c r="H72" s="29" t="s">
        <v>536</v>
      </c>
      <c r="I72" s="29" t="s">
        <v>537</v>
      </c>
    </row>
    <row r="73" spans="2:9" ht="54" customHeight="1" x14ac:dyDescent="0.25">
      <c r="B73" s="28" t="s">
        <v>550</v>
      </c>
      <c r="C73" s="29" t="s">
        <v>183</v>
      </c>
      <c r="D73" s="29" t="s">
        <v>551</v>
      </c>
      <c r="E73" s="29" t="s">
        <v>552</v>
      </c>
      <c r="F73" s="29" t="s">
        <v>553</v>
      </c>
      <c r="G73" s="28">
        <f>+ROW(FormularioFODA!B97)</f>
        <v>97</v>
      </c>
      <c r="H73" s="29" t="s">
        <v>536</v>
      </c>
      <c r="I73" s="29" t="s">
        <v>537</v>
      </c>
    </row>
    <row r="74" spans="2:9" ht="54" customHeight="1" x14ac:dyDescent="0.25">
      <c r="B74" s="28" t="s">
        <v>554</v>
      </c>
      <c r="C74" s="29" t="s">
        <v>183</v>
      </c>
      <c r="D74" s="29" t="s">
        <v>555</v>
      </c>
      <c r="E74" s="29" t="s">
        <v>556</v>
      </c>
      <c r="F74" s="29" t="s">
        <v>557</v>
      </c>
      <c r="G74" s="28">
        <f>+ROW(FormularioFODA!B98)</f>
        <v>98</v>
      </c>
      <c r="H74" s="29" t="s">
        <v>536</v>
      </c>
      <c r="I74" s="29" t="s">
        <v>537</v>
      </c>
    </row>
    <row r="75" spans="2:9" ht="41.25" customHeight="1" x14ac:dyDescent="0.25">
      <c r="B75" s="28" t="s">
        <v>558</v>
      </c>
      <c r="C75" s="29" t="s">
        <v>190</v>
      </c>
      <c r="D75" s="29" t="s">
        <v>559</v>
      </c>
      <c r="E75" s="29" t="s">
        <v>560</v>
      </c>
      <c r="F75" s="29" t="s">
        <v>561</v>
      </c>
      <c r="G75" s="28">
        <f>+ROW(FormularioFODA!B101)</f>
        <v>101</v>
      </c>
      <c r="H75" s="29" t="s">
        <v>562</v>
      </c>
      <c r="I75" s="29" t="s">
        <v>537</v>
      </c>
    </row>
    <row r="76" spans="2:9" ht="41.25" customHeight="1" x14ac:dyDescent="0.25">
      <c r="B76" s="28" t="s">
        <v>563</v>
      </c>
      <c r="C76" s="29" t="s">
        <v>190</v>
      </c>
      <c r="D76" s="29" t="s">
        <v>564</v>
      </c>
      <c r="E76" s="29" t="s">
        <v>565</v>
      </c>
      <c r="F76" s="29" t="s">
        <v>566</v>
      </c>
      <c r="G76" s="28">
        <f>+ROW(FormularioFODA!B102)</f>
        <v>102</v>
      </c>
      <c r="H76" s="29" t="s">
        <v>562</v>
      </c>
      <c r="I76" s="29" t="s">
        <v>537</v>
      </c>
    </row>
    <row r="77" spans="2:9" ht="41.25" customHeight="1" x14ac:dyDescent="0.25">
      <c r="B77" s="28" t="s">
        <v>567</v>
      </c>
      <c r="C77" s="29" t="s">
        <v>190</v>
      </c>
      <c r="D77" s="29" t="s">
        <v>568</v>
      </c>
      <c r="E77" s="29" t="s">
        <v>569</v>
      </c>
      <c r="F77" s="29" t="s">
        <v>570</v>
      </c>
      <c r="G77" s="28">
        <f>+ROW(FormularioFODA!B103)</f>
        <v>103</v>
      </c>
      <c r="H77" s="29" t="s">
        <v>562</v>
      </c>
      <c r="I77" s="29" t="s">
        <v>537</v>
      </c>
    </row>
    <row r="78" spans="2:9" ht="41.25" customHeight="1" x14ac:dyDescent="0.25">
      <c r="B78" s="28" t="s">
        <v>571</v>
      </c>
      <c r="C78" s="29" t="s">
        <v>190</v>
      </c>
      <c r="D78" s="29" t="s">
        <v>572</v>
      </c>
      <c r="E78" s="29" t="s">
        <v>573</v>
      </c>
      <c r="F78" s="29" t="s">
        <v>574</v>
      </c>
      <c r="G78" s="28">
        <f>+ROW(FormularioFODA!B104)</f>
        <v>104</v>
      </c>
      <c r="H78" s="29" t="s">
        <v>562</v>
      </c>
      <c r="I78" s="29" t="s">
        <v>537</v>
      </c>
    </row>
    <row r="79" spans="2:9" ht="41.25" customHeight="1" x14ac:dyDescent="0.25">
      <c r="B79" s="28" t="s">
        <v>575</v>
      </c>
      <c r="C79" s="29" t="s">
        <v>190</v>
      </c>
      <c r="D79" s="29" t="s">
        <v>576</v>
      </c>
      <c r="E79" s="29" t="s">
        <v>577</v>
      </c>
      <c r="F79" s="29" t="s">
        <v>578</v>
      </c>
      <c r="G79" s="28">
        <f>+ROW(FormularioFODA!B105)</f>
        <v>105</v>
      </c>
      <c r="H79" s="29" t="s">
        <v>562</v>
      </c>
      <c r="I79" s="29" t="s">
        <v>537</v>
      </c>
    </row>
    <row r="80" spans="2:9" ht="41.25" customHeight="1" x14ac:dyDescent="0.25">
      <c r="B80" s="28" t="s">
        <v>579</v>
      </c>
      <c r="C80" s="29" t="s">
        <v>190</v>
      </c>
      <c r="D80" s="29" t="s">
        <v>580</v>
      </c>
      <c r="E80" s="29" t="s">
        <v>581</v>
      </c>
      <c r="F80" s="29" t="s">
        <v>582</v>
      </c>
      <c r="G80" s="28">
        <f>+ROW(FormularioFODA!B106)</f>
        <v>106</v>
      </c>
      <c r="H80" s="29" t="s">
        <v>562</v>
      </c>
      <c r="I80" s="29" t="s">
        <v>537</v>
      </c>
    </row>
    <row r="81" spans="2:9" ht="41.25" customHeight="1" x14ac:dyDescent="0.25">
      <c r="B81" s="28" t="s">
        <v>583</v>
      </c>
      <c r="C81" s="29" t="s">
        <v>190</v>
      </c>
      <c r="D81" s="29" t="s">
        <v>584</v>
      </c>
      <c r="E81" s="29" t="s">
        <v>585</v>
      </c>
      <c r="F81" s="29" t="s">
        <v>586</v>
      </c>
      <c r="G81" s="28">
        <f>+ROW(FormularioFODA!B107)</f>
        <v>107</v>
      </c>
      <c r="H81" s="29" t="s">
        <v>562</v>
      </c>
      <c r="I81" s="29" t="s">
        <v>537</v>
      </c>
    </row>
    <row r="82" spans="2:9" ht="41.25" customHeight="1" x14ac:dyDescent="0.25">
      <c r="B82" s="28" t="s">
        <v>587</v>
      </c>
      <c r="C82" s="29" t="s">
        <v>190</v>
      </c>
      <c r="D82" s="29" t="s">
        <v>588</v>
      </c>
      <c r="E82" s="29" t="s">
        <v>589</v>
      </c>
      <c r="F82" s="29" t="s">
        <v>590</v>
      </c>
      <c r="G82" s="28">
        <f>+ROW(FormularioFODA!B108)</f>
        <v>108</v>
      </c>
      <c r="H82" s="29" t="s">
        <v>562</v>
      </c>
      <c r="I82" s="29" t="s">
        <v>537</v>
      </c>
    </row>
    <row r="83" spans="2:9" ht="41.25" customHeight="1" x14ac:dyDescent="0.25">
      <c r="B83" s="28" t="s">
        <v>591</v>
      </c>
      <c r="C83" s="29" t="s">
        <v>199</v>
      </c>
      <c r="D83" s="29" t="s">
        <v>592</v>
      </c>
      <c r="E83" s="29" t="s">
        <v>593</v>
      </c>
      <c r="F83" s="29" t="s">
        <v>594</v>
      </c>
      <c r="G83" s="28">
        <f>+ROW(FormularioFODA!B111)</f>
        <v>111</v>
      </c>
      <c r="H83" s="29" t="s">
        <v>595</v>
      </c>
      <c r="I83" s="29" t="s">
        <v>537</v>
      </c>
    </row>
    <row r="84" spans="2:9" ht="41.25" customHeight="1" x14ac:dyDescent="0.25">
      <c r="B84" s="28" t="s">
        <v>596</v>
      </c>
      <c r="C84" s="29" t="s">
        <v>199</v>
      </c>
      <c r="D84" s="29" t="s">
        <v>597</v>
      </c>
      <c r="E84" s="29" t="s">
        <v>598</v>
      </c>
      <c r="F84" s="29" t="s">
        <v>599</v>
      </c>
      <c r="G84" s="28">
        <f>+ROW(FormularioFODA!B112)</f>
        <v>112</v>
      </c>
      <c r="H84" s="29" t="s">
        <v>595</v>
      </c>
      <c r="I84" s="29" t="s">
        <v>537</v>
      </c>
    </row>
    <row r="85" spans="2:9" ht="41.25" customHeight="1" x14ac:dyDescent="0.25">
      <c r="B85" s="28" t="s">
        <v>600</v>
      </c>
      <c r="C85" s="29" t="s">
        <v>199</v>
      </c>
      <c r="D85" s="29" t="s">
        <v>601</v>
      </c>
      <c r="E85" s="29" t="s">
        <v>602</v>
      </c>
      <c r="F85" s="29" t="s">
        <v>603</v>
      </c>
      <c r="G85" s="28">
        <f>+ROW(FormularioFODA!B113)</f>
        <v>113</v>
      </c>
      <c r="H85" s="29" t="s">
        <v>595</v>
      </c>
      <c r="I85" s="29" t="s">
        <v>537</v>
      </c>
    </row>
    <row r="86" spans="2:9" ht="41.25" customHeight="1" x14ac:dyDescent="0.25">
      <c r="B86" s="28" t="s">
        <v>604</v>
      </c>
      <c r="C86" s="29" t="s">
        <v>199</v>
      </c>
      <c r="D86" s="29" t="s">
        <v>605</v>
      </c>
      <c r="E86" s="29" t="s">
        <v>606</v>
      </c>
      <c r="F86" s="29" t="s">
        <v>607</v>
      </c>
      <c r="G86" s="28">
        <f>+ROW(FormularioFODA!B114)</f>
        <v>114</v>
      </c>
      <c r="H86" s="29" t="s">
        <v>595</v>
      </c>
      <c r="I86" s="29" t="s">
        <v>537</v>
      </c>
    </row>
    <row r="87" spans="2:9" ht="41.25" customHeight="1" x14ac:dyDescent="0.25">
      <c r="B87" s="28" t="s">
        <v>608</v>
      </c>
      <c r="C87" s="29" t="s">
        <v>199</v>
      </c>
      <c r="D87" s="29" t="s">
        <v>609</v>
      </c>
      <c r="E87" s="29" t="s">
        <v>610</v>
      </c>
      <c r="F87" s="29" t="s">
        <v>611</v>
      </c>
      <c r="G87" s="28">
        <f>+ROW(FormularioFODA!B115)</f>
        <v>115</v>
      </c>
      <c r="H87" s="29" t="s">
        <v>595</v>
      </c>
      <c r="I87" s="29" t="s">
        <v>537</v>
      </c>
    </row>
    <row r="88" spans="2:9" ht="41.25" customHeight="1" x14ac:dyDescent="0.25">
      <c r="B88" s="28" t="s">
        <v>612</v>
      </c>
      <c r="C88" s="29" t="s">
        <v>205</v>
      </c>
      <c r="D88" s="29" t="s">
        <v>613</v>
      </c>
      <c r="E88" s="29" t="s">
        <v>614</v>
      </c>
      <c r="F88" s="29" t="s">
        <v>615</v>
      </c>
      <c r="G88" s="28">
        <f>+ROW(FormularioFODA!B118)</f>
        <v>118</v>
      </c>
      <c r="H88" s="29" t="s">
        <v>616</v>
      </c>
      <c r="I88" s="29" t="s">
        <v>537</v>
      </c>
    </row>
    <row r="89" spans="2:9" ht="41.25" customHeight="1" x14ac:dyDescent="0.25">
      <c r="B89" s="28" t="s">
        <v>617</v>
      </c>
      <c r="C89" s="29" t="s">
        <v>205</v>
      </c>
      <c r="D89" s="29" t="s">
        <v>618</v>
      </c>
      <c r="E89" s="29" t="s">
        <v>619</v>
      </c>
      <c r="F89" s="29" t="s">
        <v>620</v>
      </c>
      <c r="G89" s="28">
        <f>+ROW(FormularioFODA!B119)</f>
        <v>119</v>
      </c>
      <c r="H89" s="29" t="s">
        <v>616</v>
      </c>
      <c r="I89" s="29" t="s">
        <v>537</v>
      </c>
    </row>
    <row r="90" spans="2:9" ht="41.25" customHeight="1" x14ac:dyDescent="0.25">
      <c r="B90" s="28" t="s">
        <v>621</v>
      </c>
      <c r="C90" s="29" t="s">
        <v>205</v>
      </c>
      <c r="D90" s="29" t="s">
        <v>622</v>
      </c>
      <c r="E90" s="29" t="s">
        <v>623</v>
      </c>
      <c r="F90" s="29" t="s">
        <v>624</v>
      </c>
      <c r="G90" s="28">
        <f>+ROW(FormularioFODA!B120)</f>
        <v>120</v>
      </c>
      <c r="H90" s="29" t="s">
        <v>616</v>
      </c>
      <c r="I90" s="29" t="s">
        <v>537</v>
      </c>
    </row>
    <row r="91" spans="2:9" ht="41.25" customHeight="1" x14ac:dyDescent="0.25">
      <c r="B91" s="28" t="s">
        <v>625</v>
      </c>
      <c r="C91" s="29" t="s">
        <v>205</v>
      </c>
      <c r="D91" s="29" t="s">
        <v>626</v>
      </c>
      <c r="E91" s="29" t="s">
        <v>627</v>
      </c>
      <c r="F91" s="29" t="s">
        <v>628</v>
      </c>
      <c r="G91" s="28">
        <f>+ROW(FormularioFODA!B121)</f>
        <v>121</v>
      </c>
      <c r="H91" s="29" t="s">
        <v>616</v>
      </c>
      <c r="I91" s="29" t="s">
        <v>537</v>
      </c>
    </row>
    <row r="92" spans="2:9" ht="41.25" customHeight="1" x14ac:dyDescent="0.25">
      <c r="B92" s="28" t="s">
        <v>629</v>
      </c>
      <c r="C92" s="29" t="s">
        <v>210</v>
      </c>
      <c r="D92" s="29" t="s">
        <v>630</v>
      </c>
      <c r="E92" s="29" t="s">
        <v>631</v>
      </c>
      <c r="F92" s="29" t="s">
        <v>632</v>
      </c>
      <c r="G92" s="28">
        <f>+ROW(FormularioFODA!B124)</f>
        <v>124</v>
      </c>
      <c r="H92" s="29" t="s">
        <v>633</v>
      </c>
      <c r="I92" s="29" t="s">
        <v>537</v>
      </c>
    </row>
    <row r="93" spans="2:9" ht="41.25" customHeight="1" x14ac:dyDescent="0.25">
      <c r="B93" s="28" t="s">
        <v>634</v>
      </c>
      <c r="C93" s="29" t="s">
        <v>210</v>
      </c>
      <c r="D93" s="29" t="s">
        <v>635</v>
      </c>
      <c r="E93" s="29" t="s">
        <v>636</v>
      </c>
      <c r="F93" s="29" t="s">
        <v>637</v>
      </c>
      <c r="G93" s="28">
        <f>+ROW(FormularioFODA!B125)</f>
        <v>125</v>
      </c>
      <c r="H93" s="29" t="s">
        <v>633</v>
      </c>
      <c r="I93" s="29" t="s">
        <v>537</v>
      </c>
    </row>
    <row r="94" spans="2:9" ht="41.25" customHeight="1" x14ac:dyDescent="0.25">
      <c r="B94" s="28" t="s">
        <v>638</v>
      </c>
      <c r="C94" s="29" t="s">
        <v>210</v>
      </c>
      <c r="D94" s="29" t="s">
        <v>639</v>
      </c>
      <c r="E94" s="29" t="s">
        <v>640</v>
      </c>
      <c r="F94" s="29" t="s">
        <v>641</v>
      </c>
      <c r="G94" s="28">
        <f>+ROW(FormularioFODA!B126)</f>
        <v>126</v>
      </c>
      <c r="H94" s="29" t="s">
        <v>633</v>
      </c>
      <c r="I94" s="29" t="s">
        <v>537</v>
      </c>
    </row>
    <row r="95" spans="2:9" ht="41.25" customHeight="1" x14ac:dyDescent="0.25">
      <c r="B95" s="28" t="s">
        <v>642</v>
      </c>
      <c r="C95" s="29" t="s">
        <v>210</v>
      </c>
      <c r="D95" s="29" t="s">
        <v>643</v>
      </c>
      <c r="E95" s="29" t="s">
        <v>644</v>
      </c>
      <c r="F95" s="29" t="s">
        <v>645</v>
      </c>
      <c r="G95" s="28">
        <f>+ROW(FormularioFODA!B127)</f>
        <v>127</v>
      </c>
      <c r="H95" s="29" t="s">
        <v>633</v>
      </c>
      <c r="I95" s="29" t="s">
        <v>537</v>
      </c>
    </row>
    <row r="96" spans="2:9" ht="41.25" customHeight="1" x14ac:dyDescent="0.25">
      <c r="B96" s="28" t="s">
        <v>646</v>
      </c>
      <c r="C96" s="29" t="s">
        <v>210</v>
      </c>
      <c r="D96" s="29" t="s">
        <v>647</v>
      </c>
      <c r="E96" s="29" t="s">
        <v>648</v>
      </c>
      <c r="F96" s="29" t="s">
        <v>649</v>
      </c>
      <c r="G96" s="28">
        <f>+ROW(FormularioFODA!B128)</f>
        <v>128</v>
      </c>
      <c r="H96" s="29" t="s">
        <v>633</v>
      </c>
      <c r="I96" s="29" t="s">
        <v>537</v>
      </c>
    </row>
    <row r="97" spans="2:9" ht="41.25" customHeight="1" x14ac:dyDescent="0.25">
      <c r="B97" s="28" t="s">
        <v>650</v>
      </c>
      <c r="C97" s="29" t="s">
        <v>210</v>
      </c>
      <c r="D97" s="29" t="s">
        <v>651</v>
      </c>
      <c r="E97" s="29" t="s">
        <v>652</v>
      </c>
      <c r="F97" s="29" t="s">
        <v>653</v>
      </c>
      <c r="G97" s="28">
        <f>+ROW(FormularioFODA!B129)</f>
        <v>129</v>
      </c>
      <c r="H97" s="29" t="s">
        <v>633</v>
      </c>
      <c r="I97" s="29" t="s">
        <v>537</v>
      </c>
    </row>
    <row r="98" spans="2:9" ht="41.25" customHeight="1" x14ac:dyDescent="0.25">
      <c r="B98" s="28" t="s">
        <v>654</v>
      </c>
      <c r="C98" s="29" t="s">
        <v>210</v>
      </c>
      <c r="D98" s="29" t="s">
        <v>655</v>
      </c>
      <c r="E98" s="29" t="s">
        <v>656</v>
      </c>
      <c r="F98" s="29" t="s">
        <v>657</v>
      </c>
      <c r="G98" s="28">
        <f>+ROW(FormularioFODA!B130)</f>
        <v>130</v>
      </c>
      <c r="H98" s="29" t="s">
        <v>633</v>
      </c>
      <c r="I98" s="29" t="s">
        <v>537</v>
      </c>
    </row>
    <row r="99" spans="2:9" ht="41.25" customHeight="1" x14ac:dyDescent="0.25">
      <c r="B99" s="28" t="s">
        <v>658</v>
      </c>
      <c r="C99" s="29" t="s">
        <v>218</v>
      </c>
      <c r="D99" s="29" t="s">
        <v>659</v>
      </c>
      <c r="E99" s="29" t="s">
        <v>660</v>
      </c>
      <c r="F99" s="29" t="s">
        <v>661</v>
      </c>
      <c r="G99" s="28">
        <f>+ROW(FormularioFODA!B133)</f>
        <v>133</v>
      </c>
      <c r="H99" s="29" t="s">
        <v>662</v>
      </c>
      <c r="I99" s="29" t="s">
        <v>537</v>
      </c>
    </row>
    <row r="100" spans="2:9" ht="41.25" customHeight="1" x14ac:dyDescent="0.25">
      <c r="B100" s="28" t="s">
        <v>663</v>
      </c>
      <c r="C100" s="29" t="s">
        <v>218</v>
      </c>
      <c r="D100" s="29" t="s">
        <v>664</v>
      </c>
      <c r="E100" s="29" t="s">
        <v>665</v>
      </c>
      <c r="F100" s="29" t="s">
        <v>666</v>
      </c>
      <c r="G100" s="28">
        <f>+ROW(FormularioFODA!B134)</f>
        <v>134</v>
      </c>
      <c r="H100" s="29" t="s">
        <v>662</v>
      </c>
      <c r="I100" s="29" t="s">
        <v>537</v>
      </c>
    </row>
    <row r="101" spans="2:9" ht="41.25" customHeight="1" x14ac:dyDescent="0.25">
      <c r="B101" s="28" t="s">
        <v>667</v>
      </c>
      <c r="C101" s="29" t="s">
        <v>218</v>
      </c>
      <c r="D101" s="29" t="s">
        <v>668</v>
      </c>
      <c r="E101" s="29" t="s">
        <v>669</v>
      </c>
      <c r="F101" s="29" t="s">
        <v>670</v>
      </c>
      <c r="G101" s="28">
        <f>+ROW(FormularioFODA!B135)</f>
        <v>135</v>
      </c>
      <c r="H101" s="29" t="s">
        <v>662</v>
      </c>
      <c r="I101" s="29" t="s">
        <v>537</v>
      </c>
    </row>
    <row r="102" spans="2:9" ht="41.25" customHeight="1" x14ac:dyDescent="0.25">
      <c r="B102" s="28" t="s">
        <v>671</v>
      </c>
      <c r="C102" s="29" t="s">
        <v>218</v>
      </c>
      <c r="D102" s="29" t="s">
        <v>672</v>
      </c>
      <c r="E102" s="29" t="s">
        <v>673</v>
      </c>
      <c r="F102" s="29" t="s">
        <v>674</v>
      </c>
      <c r="G102" s="28">
        <f>+ROW(FormularioFODA!B136)</f>
        <v>136</v>
      </c>
      <c r="H102" s="29" t="s">
        <v>662</v>
      </c>
      <c r="I102" s="29" t="s">
        <v>537</v>
      </c>
    </row>
    <row r="103" spans="2:9" ht="41.25" customHeight="1" x14ac:dyDescent="0.25">
      <c r="B103" s="28" t="s">
        <v>675</v>
      </c>
      <c r="C103" s="29" t="s">
        <v>218</v>
      </c>
      <c r="D103" s="29" t="s">
        <v>676</v>
      </c>
      <c r="E103" s="29" t="s">
        <v>677</v>
      </c>
      <c r="F103" s="29" t="s">
        <v>678</v>
      </c>
      <c r="G103" s="28">
        <f>+ROW(FormularioFODA!B137)</f>
        <v>137</v>
      </c>
      <c r="H103" s="29" t="s">
        <v>662</v>
      </c>
      <c r="I103" s="29" t="s">
        <v>537</v>
      </c>
    </row>
    <row r="104" spans="2:9" ht="41.25" customHeight="1" x14ac:dyDescent="0.25">
      <c r="B104" s="28" t="s">
        <v>679</v>
      </c>
      <c r="C104" s="29" t="s">
        <v>218</v>
      </c>
      <c r="D104" s="29" t="s">
        <v>680</v>
      </c>
      <c r="E104" s="29" t="s">
        <v>681</v>
      </c>
      <c r="F104" s="29" t="s">
        <v>682</v>
      </c>
      <c r="G104" s="28">
        <f>+ROW(FormularioFODA!B138)</f>
        <v>138</v>
      </c>
      <c r="H104" s="29" t="s">
        <v>662</v>
      </c>
      <c r="I104" s="29" t="s">
        <v>537</v>
      </c>
    </row>
    <row r="105" spans="2:9" ht="41.25" customHeight="1" x14ac:dyDescent="0.25">
      <c r="B105" s="28" t="s">
        <v>683</v>
      </c>
      <c r="C105" s="29" t="s">
        <v>225</v>
      </c>
      <c r="D105" s="29" t="s">
        <v>684</v>
      </c>
      <c r="E105" s="29" t="s">
        <v>685</v>
      </c>
      <c r="F105" s="29" t="s">
        <v>686</v>
      </c>
      <c r="G105" s="28">
        <f>+ROW(FormularioFODA!B141)</f>
        <v>141</v>
      </c>
      <c r="H105" s="29" t="s">
        <v>687</v>
      </c>
      <c r="I105" s="29" t="s">
        <v>537</v>
      </c>
    </row>
    <row r="106" spans="2:9" ht="41.25" customHeight="1" x14ac:dyDescent="0.25">
      <c r="B106" s="28" t="s">
        <v>688</v>
      </c>
      <c r="C106" s="29" t="s">
        <v>225</v>
      </c>
      <c r="D106" s="29" t="s">
        <v>689</v>
      </c>
      <c r="E106" s="29" t="s">
        <v>690</v>
      </c>
      <c r="F106" s="29" t="s">
        <v>691</v>
      </c>
      <c r="G106" s="28">
        <f>+ROW(FormularioFODA!B142)</f>
        <v>142</v>
      </c>
      <c r="H106" s="29" t="s">
        <v>687</v>
      </c>
      <c r="I106" s="29" t="s">
        <v>537</v>
      </c>
    </row>
    <row r="107" spans="2:9" ht="41.25" customHeight="1" x14ac:dyDescent="0.25">
      <c r="B107" s="28" t="s">
        <v>692</v>
      </c>
      <c r="C107" s="29" t="s">
        <v>225</v>
      </c>
      <c r="D107" s="29" t="s">
        <v>693</v>
      </c>
      <c r="E107" s="29" t="s">
        <v>694</v>
      </c>
      <c r="F107" s="29" t="s">
        <v>695</v>
      </c>
      <c r="G107" s="28">
        <f>+ROW(FormularioFODA!B143)</f>
        <v>143</v>
      </c>
      <c r="H107" s="29" t="s">
        <v>687</v>
      </c>
      <c r="I107" s="29" t="s">
        <v>537</v>
      </c>
    </row>
    <row r="108" spans="2:9" ht="41.25" customHeight="1" x14ac:dyDescent="0.25">
      <c r="B108" s="28" t="s">
        <v>696</v>
      </c>
      <c r="C108" s="29" t="s">
        <v>225</v>
      </c>
      <c r="D108" s="29" t="s">
        <v>697</v>
      </c>
      <c r="E108" s="29" t="s">
        <v>698</v>
      </c>
      <c r="F108" s="29" t="s">
        <v>699</v>
      </c>
      <c r="G108" s="28">
        <f>+ROW(FormularioFODA!B144)</f>
        <v>144</v>
      </c>
      <c r="H108" s="29" t="s">
        <v>687</v>
      </c>
      <c r="I108" s="29" t="s">
        <v>537</v>
      </c>
    </row>
    <row r="109" spans="2:9" ht="41.25" customHeight="1" x14ac:dyDescent="0.25">
      <c r="B109" s="28" t="s">
        <v>700</v>
      </c>
      <c r="C109" s="29" t="s">
        <v>230</v>
      </c>
      <c r="D109" s="29" t="s">
        <v>701</v>
      </c>
      <c r="E109" s="29" t="s">
        <v>702</v>
      </c>
      <c r="F109" s="29" t="s">
        <v>703</v>
      </c>
      <c r="G109" s="28">
        <f>+ROW(FormularioFODA!B147)</f>
        <v>147</v>
      </c>
      <c r="H109" s="29" t="s">
        <v>704</v>
      </c>
      <c r="I109" s="29" t="s">
        <v>537</v>
      </c>
    </row>
    <row r="110" spans="2:9" ht="41.25" customHeight="1" x14ac:dyDescent="0.25">
      <c r="B110" s="28" t="s">
        <v>705</v>
      </c>
      <c r="C110" s="29" t="s">
        <v>230</v>
      </c>
      <c r="D110" s="29" t="s">
        <v>706</v>
      </c>
      <c r="E110" s="29" t="s">
        <v>707</v>
      </c>
      <c r="F110" s="29" t="s">
        <v>708</v>
      </c>
      <c r="G110" s="28">
        <f>+ROW(FormularioFODA!B148)</f>
        <v>148</v>
      </c>
      <c r="H110" s="29" t="s">
        <v>704</v>
      </c>
      <c r="I110" s="29" t="s">
        <v>537</v>
      </c>
    </row>
    <row r="111" spans="2:9" ht="41.25" customHeight="1" x14ac:dyDescent="0.25">
      <c r="B111" s="28" t="s">
        <v>709</v>
      </c>
      <c r="C111" s="29" t="s">
        <v>233</v>
      </c>
      <c r="D111" s="29" t="s">
        <v>710</v>
      </c>
      <c r="E111" s="29" t="s">
        <v>711</v>
      </c>
      <c r="F111" s="29" t="s">
        <v>712</v>
      </c>
      <c r="G111" s="28">
        <f>+ROW(FormularioFODA!B151)</f>
        <v>151</v>
      </c>
      <c r="H111" s="29" t="s">
        <v>713</v>
      </c>
      <c r="I111" s="29" t="s">
        <v>537</v>
      </c>
    </row>
    <row r="112" spans="2:9" ht="41.25" customHeight="1" x14ac:dyDescent="0.25">
      <c r="B112" s="28" t="s">
        <v>714</v>
      </c>
      <c r="C112" s="29" t="s">
        <v>233</v>
      </c>
      <c r="D112" s="29" t="s">
        <v>715</v>
      </c>
      <c r="E112" s="29" t="s">
        <v>716</v>
      </c>
      <c r="F112" s="29" t="s">
        <v>717</v>
      </c>
      <c r="G112" s="28">
        <f>+ROW(FormularioFODA!B152)</f>
        <v>152</v>
      </c>
      <c r="H112" s="29" t="s">
        <v>713</v>
      </c>
      <c r="I112" s="29" t="s">
        <v>537</v>
      </c>
    </row>
    <row r="113" spans="2:9" ht="41.25" customHeight="1" x14ac:dyDescent="0.25">
      <c r="B113" s="28" t="s">
        <v>718</v>
      </c>
      <c r="C113" s="29" t="s">
        <v>233</v>
      </c>
      <c r="D113" s="29" t="s">
        <v>719</v>
      </c>
      <c r="E113" s="29" t="s">
        <v>720</v>
      </c>
      <c r="F113" s="29" t="s">
        <v>721</v>
      </c>
      <c r="G113" s="28">
        <f>+ROW(FormularioFODA!B153)</f>
        <v>153</v>
      </c>
      <c r="H113" s="29" t="s">
        <v>713</v>
      </c>
      <c r="I113" s="29" t="s">
        <v>537</v>
      </c>
    </row>
    <row r="114" spans="2:9" ht="41.25" customHeight="1" x14ac:dyDescent="0.25">
      <c r="B114" s="28" t="s">
        <v>722</v>
      </c>
      <c r="C114" s="29" t="s">
        <v>233</v>
      </c>
      <c r="D114" s="29" t="s">
        <v>723</v>
      </c>
      <c r="E114" s="29" t="s">
        <v>724</v>
      </c>
      <c r="F114" s="29" t="s">
        <v>725</v>
      </c>
      <c r="G114" s="28">
        <f>+ROW(FormularioFODA!B154)</f>
        <v>154</v>
      </c>
      <c r="H114" s="29" t="s">
        <v>713</v>
      </c>
      <c r="I114" s="29" t="s">
        <v>537</v>
      </c>
    </row>
  </sheetData>
  <autoFilter ref="B4:I114" xr:uid="{00000000-0009-0000-0000-000002000000}"/>
  <mergeCells count="1">
    <mergeCell ref="B2:I2"/>
  </mergeCells>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I27"/>
  <sheetViews>
    <sheetView showGridLines="0" zoomScaleNormal="100" workbookViewId="0">
      <selection activeCell="H9" sqref="H9"/>
    </sheetView>
  </sheetViews>
  <sheetFormatPr baseColWidth="10" defaultColWidth="8.7109375" defaultRowHeight="15" x14ac:dyDescent="0.25"/>
  <cols>
    <col min="1" max="1" width="2" customWidth="1"/>
    <col min="2" max="2" width="44.5703125" customWidth="1"/>
    <col min="3" max="7" width="16" customWidth="1"/>
  </cols>
  <sheetData>
    <row r="1" spans="2:9" x14ac:dyDescent="0.25">
      <c r="I1" s="30" t="s">
        <v>726</v>
      </c>
    </row>
    <row r="4" spans="2:9" ht="42" customHeight="1" x14ac:dyDescent="0.25">
      <c r="B4" s="31" t="s">
        <v>727</v>
      </c>
      <c r="C4" s="31" t="s">
        <v>728</v>
      </c>
      <c r="D4" s="31" t="s">
        <v>729</v>
      </c>
      <c r="E4" s="31" t="s">
        <v>730</v>
      </c>
      <c r="F4" s="31" t="s">
        <v>731</v>
      </c>
      <c r="G4" s="31" t="s">
        <v>732</v>
      </c>
    </row>
    <row r="5" spans="2:9" x14ac:dyDescent="0.25">
      <c r="B5" s="4" t="str">
        <f>+FormularioFODA!B5</f>
        <v>Segmentos de Clientes</v>
      </c>
      <c r="C5" s="32">
        <f>SUMPRODUCT(--(LEN('PART2 FODA'!D4:D10)&gt;0))</f>
        <v>2</v>
      </c>
      <c r="D5" s="32">
        <f>SUMPRODUCT(--(LEN('PART2 FODA'!E4:E10)&gt;0))</f>
        <v>2</v>
      </c>
      <c r="E5" s="32">
        <f>SUMPRODUCT(--(LEN('PART2 FODA'!F4:F10)&gt;0))</f>
        <v>1</v>
      </c>
      <c r="F5" s="32">
        <f>SUMPRODUCT(--(LEN('PART2 FODA'!G4:G10)&gt;0))</f>
        <v>1</v>
      </c>
      <c r="G5" s="32">
        <f>SUMPRODUCT(--(LEN('PART2 FODA'!H4:H10)&gt;0))</f>
        <v>1</v>
      </c>
    </row>
    <row r="6" spans="2:9" x14ac:dyDescent="0.25">
      <c r="B6" s="4" t="str">
        <f>+FormularioFODA!B12</f>
        <v>Propuesta de Valor</v>
      </c>
      <c r="C6" s="32">
        <f>SUMPRODUCT(--(LEN('PART2 FODA'!D12:D25)&gt;0))</f>
        <v>3</v>
      </c>
      <c r="D6" s="32">
        <f>SUMPRODUCT(--(LEN('PART2 FODA'!E12:E25)&gt;0))</f>
        <v>3</v>
      </c>
      <c r="E6" s="32">
        <f>SUMPRODUCT(--(LEN('PART2 FODA'!F12:F25)&gt;0))</f>
        <v>3</v>
      </c>
      <c r="F6" s="32">
        <f>SUMPRODUCT(--(LEN('PART2 FODA'!G12:G25)&gt;0))</f>
        <v>5</v>
      </c>
      <c r="G6" s="32">
        <f>SUMPRODUCT(--(LEN('PART2 FODA'!H12:H25)&gt;0))</f>
        <v>0</v>
      </c>
    </row>
    <row r="7" spans="2:9" x14ac:dyDescent="0.25">
      <c r="B7" s="4" t="str">
        <f>+FormularioFODA!B21</f>
        <v>Canales</v>
      </c>
      <c r="C7" s="32">
        <f>SUMPRODUCT(--(LEN('PART2 FODA'!D27:D37)&gt;0))</f>
        <v>0</v>
      </c>
      <c r="D7" s="32">
        <f>SUMPRODUCT(--(LEN('PART2 FODA'!E27:E37)&gt;0))</f>
        <v>1</v>
      </c>
      <c r="E7" s="32">
        <f>SUMPRODUCT(--(LEN('PART2 FODA'!F27:F37)&gt;0))</f>
        <v>0</v>
      </c>
      <c r="F7" s="32">
        <f>SUMPRODUCT(--(LEN('PART2 FODA'!G27:G37)&gt;0))</f>
        <v>8</v>
      </c>
      <c r="G7" s="32">
        <f>SUMPRODUCT(--(LEN('PART2 FODA'!H27:H37)&gt;0))</f>
        <v>2</v>
      </c>
    </row>
    <row r="8" spans="2:9" x14ac:dyDescent="0.25">
      <c r="B8" s="4" t="str">
        <f>+FormularioFODA!B28</f>
        <v>Relación con Clientes</v>
      </c>
      <c r="C8" s="32">
        <f>SUMPRODUCT(--(LEN('PART2 FODA'!D39:D43)&gt;0))</f>
        <v>0</v>
      </c>
      <c r="D8" s="32">
        <f>SUMPRODUCT(--(LEN('PART2 FODA'!E39:E43)&gt;0))</f>
        <v>0</v>
      </c>
      <c r="E8" s="32">
        <f>SUMPRODUCT(--(LEN('PART2 FODA'!F39:F43)&gt;0))</f>
        <v>2</v>
      </c>
      <c r="F8" s="32">
        <f>SUMPRODUCT(--(LEN('PART2 FODA'!G39:G43)&gt;0))</f>
        <v>1</v>
      </c>
      <c r="G8" s="32">
        <f>SUMPRODUCT(--(LEN('PART2 FODA'!H39:H43)&gt;0))</f>
        <v>2</v>
      </c>
    </row>
    <row r="9" spans="2:9" x14ac:dyDescent="0.25">
      <c r="B9" s="4" t="str">
        <f>+FormularioFODA!B35</f>
        <v>Fuentes de Ingresos</v>
      </c>
      <c r="C9" s="32">
        <f>SUMPRODUCT(--(LEN('PART2 FODA'!D45:D53)&gt;0))</f>
        <v>2</v>
      </c>
      <c r="D9" s="32">
        <f>SUMPRODUCT(--(LEN('PART2 FODA'!E45:E53)&gt;0))</f>
        <v>4</v>
      </c>
      <c r="E9" s="32">
        <f>SUMPRODUCT(--(LEN('PART2 FODA'!F45:F53)&gt;0))</f>
        <v>0</v>
      </c>
      <c r="F9" s="32">
        <f>SUMPRODUCT(--(LEN('PART2 FODA'!G45:G53)&gt;0))</f>
        <v>1</v>
      </c>
      <c r="G9" s="32">
        <f>SUMPRODUCT(--(LEN('PART2 FODA'!H45:H53)&gt;0))</f>
        <v>2</v>
      </c>
    </row>
    <row r="10" spans="2:9" x14ac:dyDescent="0.25">
      <c r="B10" s="4" t="str">
        <f>+FormularioFODA!B44</f>
        <v>Recursos Clave</v>
      </c>
      <c r="C10" s="32">
        <f>SUMPRODUCT(--(LEN('PART2 FODA'!D55:D67)&gt;0))</f>
        <v>1</v>
      </c>
      <c r="D10" s="32">
        <f>SUMPRODUCT(--(LEN('PART2 FODA'!E55:E67)&gt;0))</f>
        <v>7</v>
      </c>
      <c r="E10" s="32">
        <f>SUMPRODUCT(--(LEN('PART2 FODA'!F55:F67)&gt;0))</f>
        <v>1</v>
      </c>
      <c r="F10" s="32">
        <f>SUMPRODUCT(--(LEN('PART2 FODA'!G55:G67)&gt;0))</f>
        <v>4</v>
      </c>
      <c r="G10" s="32">
        <f>SUMPRODUCT(--(LEN('PART2 FODA'!H55:H67)&gt;0))</f>
        <v>0</v>
      </c>
    </row>
    <row r="11" spans="2:9" x14ac:dyDescent="0.25">
      <c r="B11" s="4" t="str">
        <f>+FormularioFODA!B54</f>
        <v>Actividades Clave</v>
      </c>
      <c r="C11" s="32">
        <f>SUMPRODUCT(--(LEN('PART2 FODA'!D69:D81)&gt;0))</f>
        <v>2</v>
      </c>
      <c r="D11" s="32">
        <f>SUMPRODUCT(--(LEN('PART2 FODA'!E69:E81)&gt;0))</f>
        <v>3</v>
      </c>
      <c r="E11" s="32">
        <f>SUMPRODUCT(--(LEN('PART2 FODA'!F69:F81)&gt;0))</f>
        <v>2</v>
      </c>
      <c r="F11" s="32">
        <f>SUMPRODUCT(--(LEN('PART2 FODA'!G69:G81)&gt;0))</f>
        <v>3</v>
      </c>
      <c r="G11" s="32">
        <f>SUMPRODUCT(--(LEN('PART2 FODA'!H69:H81)&gt;0))</f>
        <v>3</v>
      </c>
    </row>
    <row r="12" spans="2:9" x14ac:dyDescent="0.25">
      <c r="B12" s="4" t="str">
        <f>+FormularioFODA!B65</f>
        <v>Socios Clave</v>
      </c>
      <c r="C12" s="32">
        <f>SUMPRODUCT(--(LEN('PART2 FODA'!D83:D93)&gt;0))</f>
        <v>2</v>
      </c>
      <c r="D12" s="32">
        <f>SUMPRODUCT(--(LEN('PART2 FODA'!E83:E93)&gt;0))</f>
        <v>4</v>
      </c>
      <c r="E12" s="32">
        <f>SUMPRODUCT(--(LEN('PART2 FODA'!F83:F93)&gt;0))</f>
        <v>1</v>
      </c>
      <c r="F12" s="32">
        <f>SUMPRODUCT(--(LEN('PART2 FODA'!G83:G93)&gt;0))</f>
        <v>3</v>
      </c>
      <c r="G12" s="32">
        <f>SUMPRODUCT(--(LEN('PART2 FODA'!H83:H93)&gt;0))</f>
        <v>1</v>
      </c>
    </row>
    <row r="13" spans="2:9" x14ac:dyDescent="0.25">
      <c r="B13" s="4" t="str">
        <f>+FormularioFODA!B73</f>
        <v>Estructura de Costos</v>
      </c>
      <c r="C13" s="32">
        <f>SUMPRODUCT(--(LEN('PART2 FODA'!D95:D104)&gt;0))</f>
        <v>1</v>
      </c>
      <c r="D13" s="32">
        <f>SUMPRODUCT(--(LEN('PART2 FODA'!E95:E104)&gt;0))</f>
        <v>3</v>
      </c>
      <c r="E13" s="32">
        <f>SUMPRODUCT(--(LEN('PART2 FODA'!F95:F104)&gt;0))</f>
        <v>2</v>
      </c>
      <c r="F13" s="32">
        <f>SUMPRODUCT(--(LEN('PART2 FODA'!G95:G104)&gt;0))</f>
        <v>1</v>
      </c>
      <c r="G13" s="32">
        <f>SUMPRODUCT(--(LEN('PART2 FODA'!H95:H104)&gt;0))</f>
        <v>3</v>
      </c>
    </row>
    <row r="14" spans="2:9" x14ac:dyDescent="0.25">
      <c r="B14" s="4" t="str">
        <f>+FormularioFODA!B82</f>
        <v>Gestión y Compromiso Exportador</v>
      </c>
      <c r="C14" s="32">
        <f>SUMPRODUCT(--(LEN('PART2 FODA'!D106:D114)&gt;0))</f>
        <v>1</v>
      </c>
      <c r="D14" s="32">
        <f>SUMPRODUCT(--(LEN('PART2 FODA'!E106:E114)&gt;0))</f>
        <v>1</v>
      </c>
      <c r="E14" s="32">
        <f>SUMPRODUCT(--(LEN('PART2 FODA'!F106:F114)&gt;0))</f>
        <v>0</v>
      </c>
      <c r="F14" s="32">
        <f>SUMPRODUCT(--(LEN('PART2 FODA'!G106:G114)&gt;0))</f>
        <v>3</v>
      </c>
      <c r="G14" s="32">
        <f>SUMPRODUCT(--(LEN('PART2 FODA'!H106:H114)&gt;0))</f>
        <v>4</v>
      </c>
    </row>
    <row r="15" spans="2:9" x14ac:dyDescent="0.25">
      <c r="B15" s="12" t="s">
        <v>733</v>
      </c>
      <c r="C15" s="33">
        <f>SUM(C5:C14)</f>
        <v>14</v>
      </c>
      <c r="D15" s="33">
        <f>SUM(D5:D14)</f>
        <v>28</v>
      </c>
      <c r="E15" s="33">
        <f>SUM(E5:E14)</f>
        <v>12</v>
      </c>
      <c r="F15" s="33">
        <f>SUM(F5:F14)</f>
        <v>30</v>
      </c>
      <c r="G15" s="33">
        <f>SUM(G5:G14)</f>
        <v>18</v>
      </c>
    </row>
    <row r="16" spans="2:9" x14ac:dyDescent="0.25">
      <c r="B16" s="6" t="s">
        <v>734</v>
      </c>
      <c r="C16" s="34">
        <f>IF(SUM($C$15:$F$15)=0,0,C15/SUM($C$15:$F$15))</f>
        <v>0.16666666666666666</v>
      </c>
      <c r="D16" s="34">
        <f>IF(SUM($C$15:$F$15)=0,0,D15/SUM($C$15:$F$15))</f>
        <v>0.33333333333333331</v>
      </c>
      <c r="E16" s="34">
        <f>IF(SUM($C$15:$F$15)=0,0,E15/SUM($C$15:$F$15))</f>
        <v>0.14285714285714285</v>
      </c>
      <c r="F16" s="34">
        <f>IF(SUM($C$15:$F$15)=0,0,F15/SUM($C$15:$F$15))</f>
        <v>0.35714285714285715</v>
      </c>
    </row>
    <row r="18" spans="2:5" x14ac:dyDescent="0.25">
      <c r="C18" s="33"/>
      <c r="D18" s="33" t="s">
        <v>735</v>
      </c>
      <c r="E18" s="33" t="s">
        <v>736</v>
      </c>
    </row>
    <row r="19" spans="2:5" x14ac:dyDescent="0.25">
      <c r="C19" s="33" t="s">
        <v>737</v>
      </c>
      <c r="D19" s="35">
        <f>+C15</f>
        <v>14</v>
      </c>
      <c r="E19" s="35">
        <f>+D15</f>
        <v>28</v>
      </c>
    </row>
    <row r="20" spans="2:5" x14ac:dyDescent="0.25">
      <c r="C20" s="33" t="s">
        <v>738</v>
      </c>
      <c r="D20" s="35">
        <f>+E15</f>
        <v>12</v>
      </c>
      <c r="E20" s="35">
        <f>+F15</f>
        <v>30</v>
      </c>
    </row>
    <row r="22" spans="2:5" x14ac:dyDescent="0.25">
      <c r="B22" s="36" t="s">
        <v>739</v>
      </c>
    </row>
    <row r="23" spans="2:5" x14ac:dyDescent="0.25">
      <c r="B23" s="36" t="s">
        <v>740</v>
      </c>
      <c r="C23" s="36" t="s">
        <v>741</v>
      </c>
      <c r="D23" s="36" t="s">
        <v>742</v>
      </c>
      <c r="E23" s="36" t="s">
        <v>743</v>
      </c>
    </row>
    <row r="24" spans="2:5" x14ac:dyDescent="0.25">
      <c r="B24" s="37" t="s">
        <v>744</v>
      </c>
      <c r="C24" s="37">
        <v>4</v>
      </c>
      <c r="D24" s="37">
        <v>6</v>
      </c>
      <c r="E24" s="38">
        <f>+C16</f>
        <v>0.16666666666666666</v>
      </c>
    </row>
    <row r="25" spans="2:5" x14ac:dyDescent="0.25">
      <c r="B25" s="37" t="s">
        <v>745</v>
      </c>
      <c r="C25" s="37">
        <v>8</v>
      </c>
      <c r="D25" s="37">
        <v>6</v>
      </c>
      <c r="E25" s="38">
        <f>+D16</f>
        <v>0.33333333333333331</v>
      </c>
    </row>
    <row r="26" spans="2:5" x14ac:dyDescent="0.25">
      <c r="B26" s="37" t="s">
        <v>746</v>
      </c>
      <c r="C26" s="37">
        <v>4</v>
      </c>
      <c r="D26" s="37">
        <v>2</v>
      </c>
      <c r="E26" s="38">
        <f>+E16</f>
        <v>0.14285714285714285</v>
      </c>
    </row>
    <row r="27" spans="2:5" x14ac:dyDescent="0.25">
      <c r="B27" s="37" t="s">
        <v>747</v>
      </c>
      <c r="C27" s="37">
        <v>8</v>
      </c>
      <c r="D27" s="37">
        <v>2</v>
      </c>
      <c r="E27" s="38">
        <f>+F16</f>
        <v>0.35714285714285715</v>
      </c>
    </row>
  </sheetData>
  <pageMargins left="0.75" right="0.75" top="1" bottom="1" header="0.511811023622047" footer="0.511811023622047"/>
  <pageSetup paperSize="9"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H114"/>
  <sheetViews>
    <sheetView showGridLines="0" zoomScaleNormal="100" workbookViewId="0">
      <pane xSplit="3" ySplit="2" topLeftCell="G106" activePane="bottomRight" state="frozen"/>
      <selection pane="topRight" activeCell="D1" sqref="D1"/>
      <selection pane="bottomLeft" activeCell="A3" sqref="A3"/>
      <selection pane="bottomRight" activeCell="C97" sqref="C97"/>
    </sheetView>
  </sheetViews>
  <sheetFormatPr baseColWidth="10" defaultColWidth="8.7109375" defaultRowHeight="15" x14ac:dyDescent="0.25"/>
  <cols>
    <col min="1" max="1" width="2" customWidth="1"/>
    <col min="2" max="2" width="26" customWidth="1"/>
    <col min="3" max="3" width="50" customWidth="1"/>
    <col min="4" max="7" width="42" customWidth="1"/>
    <col min="8" max="8" width="40" customWidth="1"/>
  </cols>
  <sheetData>
    <row r="2" spans="2:8" x14ac:dyDescent="0.25">
      <c r="B2" s="39" t="s">
        <v>748</v>
      </c>
      <c r="C2" s="39" t="s">
        <v>749</v>
      </c>
      <c r="D2" s="39" t="s">
        <v>750</v>
      </c>
      <c r="E2" s="39" t="s">
        <v>751</v>
      </c>
      <c r="F2" s="39" t="s">
        <v>752</v>
      </c>
      <c r="G2" s="39" t="s">
        <v>753</v>
      </c>
      <c r="H2" s="39" t="s">
        <v>754</v>
      </c>
    </row>
    <row r="3" spans="2:8" x14ac:dyDescent="0.25">
      <c r="B3" s="14" t="s">
        <v>755</v>
      </c>
    </row>
    <row r="4" spans="2:8" x14ac:dyDescent="0.25">
      <c r="B4" s="40" t="str">
        <f>+FormularioFODA!B5</f>
        <v>Segmentos de Clientes</v>
      </c>
      <c r="C4" s="12" t="str">
        <f>+CalculosFoda!AF3</f>
        <v>Definición de segmentos y países objetivo</v>
      </c>
      <c r="D4" s="37" t="str">
        <f>IF(AND(OR('CalculoFoda-1'!H3=1,'CalculoFoda-1'!I3=1),OR('CalculoFoda-1'!H129=1,'CalculoFoda-1'!I129=1)),CalculosFoda!AF129,"")</f>
        <v/>
      </c>
      <c r="E4" s="37" t="str">
        <f>IF(AND(OR('CalculoFoda-1'!H3=1,'CalculoFoda-1'!I3=1),OR('CalculoFoda-1'!F129=1,'CalculoFoda-1'!G129=1)),CalculosFoda!AF129,"")</f>
        <v>Tamaño y crecimiento del mercado destino</v>
      </c>
      <c r="F4" s="37" t="str">
        <f>IF(AND(OR('CalculoFoda-1'!F3=1,'CalculoFoda-1'!G3=1),OR('CalculoFoda-1'!H129=1,'CalculoFoda-1'!I129=1)),CalculosFoda!AF129,"")</f>
        <v/>
      </c>
      <c r="G4" s="37" t="str">
        <f>IF(AND(OR('CalculoFoda-1'!F3=1,'CalculoFoda-1'!G3=1),OR('CalculoFoda-1'!F129=1,'CalculoFoda-1'!G129=1)),CalculosFoda!AF129,"")</f>
        <v/>
      </c>
      <c r="H4" s="37" t="str">
        <f>IF(OR(NOT(OR('CalculoFoda-1'!F3=1,'CalculoFoda-1'!G3=1,'CalculoFoda-1'!H3=1,'CalculoFoda-1'!I3=1)),NOT(OR('CalculoFoda-1'!F129=1,'CalculoFoda-1'!G129=1,'CalculoFoda-1'!H129=1,'CalculoFoda-1'!I129=1))),"sin dato: "&amp;CalculosFoda!AF129,"")</f>
        <v/>
      </c>
    </row>
    <row r="5" spans="2:8" x14ac:dyDescent="0.25">
      <c r="D5" s="37" t="str">
        <f>IF(AND(OR('CalculoFoda-1'!H3=1,'CalculoFoda-1'!I3=1),OR('CalculoFoda-1'!H132=1,'CalculoFoda-1'!I132=1)),CalculosFoda!AF132,"")</f>
        <v>Cambios del mercado e inteligencia comercial</v>
      </c>
      <c r="E5" s="37" t="str">
        <f>IF(AND(OR('CalculoFoda-1'!H3=1,'CalculoFoda-1'!I3=1),OR('CalculoFoda-1'!F132=1,'CalculoFoda-1'!G132=1)),CalculosFoda!AF132,"")</f>
        <v/>
      </c>
      <c r="F5" s="37" t="str">
        <f>IF(AND(OR('CalculoFoda-1'!F3=1,'CalculoFoda-1'!G3=1),OR('CalculoFoda-1'!H132=1,'CalculoFoda-1'!I132=1)),CalculosFoda!AF132,"")</f>
        <v/>
      </c>
      <c r="G5" s="37" t="str">
        <f>IF(AND(OR('CalculoFoda-1'!F3=1,'CalculoFoda-1'!G3=1),OR('CalculoFoda-1'!F132=1,'CalculoFoda-1'!G132=1)),CalculosFoda!AF132,"")</f>
        <v/>
      </c>
      <c r="H5" s="37" t="str">
        <f>IF(OR(NOT(OR('CalculoFoda-1'!F3=1,'CalculoFoda-1'!G3=1,'CalculoFoda-1'!H3=1,'CalculoFoda-1'!I3=1)),NOT(OR('CalculoFoda-1'!F132=1,'CalculoFoda-1'!G132=1,'CalculoFoda-1'!H132=1,'CalculoFoda-1'!I132=1))),"sin dato: "&amp;CalculosFoda!AF132,"")</f>
        <v/>
      </c>
    </row>
    <row r="6" spans="2:8" x14ac:dyDescent="0.25">
      <c r="C6" s="12" t="str">
        <f>+CalculosFoda!AF4</f>
        <v>Conocimiento de las necesidades del cliente externo</v>
      </c>
      <c r="D6" s="37" t="str">
        <f>IF(AND(OR('CalculoFoda-1'!H4=1,'CalculoFoda-1'!I4=1),OR('CalculoFoda-1'!H105=1,'CalculoFoda-1'!I105=1)),CalculosFoda!AF105,"")</f>
        <v/>
      </c>
      <c r="E6" s="37" t="str">
        <f>IF(AND(OR('CalculoFoda-1'!H4=1,'CalculoFoda-1'!I4=1),OR('CalculoFoda-1'!F105=1,'CalculoFoda-1'!G105=1)),CalculosFoda!AF105,"")</f>
        <v>Afinidad cultural y hábitos de consumo</v>
      </c>
      <c r="F6" s="37" t="str">
        <f>IF(AND(OR('CalculoFoda-1'!F4=1,'CalculoFoda-1'!G4=1),OR('CalculoFoda-1'!H105=1,'CalculoFoda-1'!I105=1)),CalculosFoda!AF105,"")</f>
        <v/>
      </c>
      <c r="G6" s="37" t="str">
        <f>IF(AND(OR('CalculoFoda-1'!F4=1,'CalculoFoda-1'!G4=1),OR('CalculoFoda-1'!F105=1,'CalculoFoda-1'!G105=1)),CalculosFoda!AF105,"")</f>
        <v/>
      </c>
      <c r="H6" s="37" t="str">
        <f>IF(OR(NOT(OR('CalculoFoda-1'!F4=1,'CalculoFoda-1'!G4=1,'CalculoFoda-1'!H4=1,'CalculoFoda-1'!I4=1)),NOT(OR('CalculoFoda-1'!F105=1,'CalculoFoda-1'!G105=1,'CalculoFoda-1'!H105=1,'CalculoFoda-1'!I105=1))),"sin dato: "&amp;CalculosFoda!AF105,"")</f>
        <v/>
      </c>
    </row>
    <row r="7" spans="2:8" x14ac:dyDescent="0.25">
      <c r="C7" s="12" t="str">
        <f>+CalculosFoda!AF5</f>
        <v>Concentración de clientes</v>
      </c>
      <c r="D7" s="37" t="str">
        <f>IF(AND(OR('CalculoFoda-1'!H5=1,'CalculoFoda-1'!I5=1),OR('CalculoFoda-1'!H130=1,'CalculoFoda-1'!I130=1)),CalculosFoda!AF130,"")</f>
        <v>Poder negociador de compradores e importadores</v>
      </c>
      <c r="E7" s="37" t="str">
        <f>IF(AND(OR('CalculoFoda-1'!H5=1,'CalculoFoda-1'!I5=1),OR('CalculoFoda-1'!F130=1,'CalculoFoda-1'!G130=1)),CalculosFoda!AF130,"")</f>
        <v/>
      </c>
      <c r="F7" s="37" t="str">
        <f>IF(AND(OR('CalculoFoda-1'!F5=1,'CalculoFoda-1'!G5=1),OR('CalculoFoda-1'!H130=1,'CalculoFoda-1'!I130=1)),CalculosFoda!AF130,"")</f>
        <v/>
      </c>
      <c r="G7" s="37" t="str">
        <f>IF(AND(OR('CalculoFoda-1'!F5=1,'CalculoFoda-1'!G5=1),OR('CalculoFoda-1'!F130=1,'CalculoFoda-1'!G130=1)),CalculosFoda!AF130,"")</f>
        <v/>
      </c>
      <c r="H7" s="37" t="str">
        <f>IF(OR(NOT(OR('CalculoFoda-1'!F5=1,'CalculoFoda-1'!G5=1,'CalculoFoda-1'!H5=1,'CalculoFoda-1'!I5=1)),NOT(OR('CalculoFoda-1'!F130=1,'CalculoFoda-1'!G130=1,'CalculoFoda-1'!H130=1,'CalculoFoda-1'!I130=1))),"sin dato: "&amp;CalculosFoda!AF130,"")</f>
        <v/>
      </c>
    </row>
    <row r="8" spans="2:8" x14ac:dyDescent="0.25">
      <c r="C8" s="12" t="str">
        <f>+CalculosFoda!AF6</f>
        <v>Experiencia previa exportadora</v>
      </c>
      <c r="H8" s="41" t="s">
        <v>756</v>
      </c>
    </row>
    <row r="9" spans="2:8" x14ac:dyDescent="0.25">
      <c r="C9" s="12" t="str">
        <f>+CalculosFoda!AF7</f>
        <v>Acceso a información de mercados</v>
      </c>
      <c r="D9" s="37" t="str">
        <f>IF(AND(OR('CalculoFoda-1'!H7=1,'CalculoFoda-1'!I7=1),OR('CalculoFoda-1'!H132=1,'CalculoFoda-1'!I132=1)),CalculosFoda!AF132,"")</f>
        <v/>
      </c>
      <c r="E9" s="37" t="str">
        <f>IF(AND(OR('CalculoFoda-1'!H7=1,'CalculoFoda-1'!I7=1),OR('CalculoFoda-1'!F132=1,'CalculoFoda-1'!G132=1)),CalculosFoda!AF132,"")</f>
        <v/>
      </c>
      <c r="F9" s="37" t="str">
        <f>IF(AND(OR('CalculoFoda-1'!F7=1,'CalculoFoda-1'!G7=1),OR('CalculoFoda-1'!H132=1,'CalculoFoda-1'!I132=1)),CalculosFoda!AF132,"")</f>
        <v>Cambios del mercado e inteligencia comercial</v>
      </c>
      <c r="G9" s="37" t="str">
        <f>IF(AND(OR('CalculoFoda-1'!F7=1,'CalculoFoda-1'!G7=1),OR('CalculoFoda-1'!F132=1,'CalculoFoda-1'!G132=1)),CalculosFoda!AF132,"")</f>
        <v/>
      </c>
      <c r="H9" s="37" t="str">
        <f>IF(OR(NOT(OR('CalculoFoda-1'!F7=1,'CalculoFoda-1'!G7=1,'CalculoFoda-1'!H7=1,'CalculoFoda-1'!I7=1)),NOT(OR('CalculoFoda-1'!F132=1,'CalculoFoda-1'!G132=1,'CalculoFoda-1'!H132=1,'CalculoFoda-1'!I132=1))),"sin dato: "&amp;CalculosFoda!AF132,"")</f>
        <v/>
      </c>
    </row>
    <row r="10" spans="2:8" x14ac:dyDescent="0.25">
      <c r="D10" s="37" t="str">
        <f>IF(AND(OR('CalculoFoda-1'!H7=1,'CalculoFoda-1'!I7=1),OR('CalculoFoda-1'!H113=1,'CalculoFoda-1'!I113=1)),CalculosFoda!AF113,"")</f>
        <v/>
      </c>
      <c r="E10" s="37" t="str">
        <f>IF(AND(OR('CalculoFoda-1'!H7=1,'CalculoFoda-1'!I7=1),OR('CalculoFoda-1'!F113=1,'CalculoFoda-1'!G113=1)),CalculosFoda!AF113,"")</f>
        <v/>
      </c>
      <c r="F10" s="37" t="str">
        <f>IF(AND(OR('CalculoFoda-1'!F7=1,'CalculoFoda-1'!G7=1),OR('CalculoFoda-1'!H113=1,'CalculoFoda-1'!I113=1)),CalculosFoda!AF113,"")</f>
        <v/>
      </c>
      <c r="G10" s="37" t="str">
        <f>IF(AND(OR('CalculoFoda-1'!F7=1,'CalculoFoda-1'!G7=1),OR('CalculoFoda-1'!F113=1,'CalculoFoda-1'!G113=1)),CalculosFoda!AF113,"")</f>
        <v>Conectividad y plataformas de comercio electrónico</v>
      </c>
      <c r="H10" s="37" t="str">
        <f>IF(OR(NOT(OR('CalculoFoda-1'!F7=1,'CalculoFoda-1'!G7=1,'CalculoFoda-1'!H7=1,'CalculoFoda-1'!I7=1)),NOT(OR('CalculoFoda-1'!F113=1,'CalculoFoda-1'!G113=1,'CalculoFoda-1'!H113=1,'CalculoFoda-1'!I113=1))),"sin dato: "&amp;CalculosFoda!AF113,"")</f>
        <v/>
      </c>
    </row>
    <row r="12" spans="2:8" x14ac:dyDescent="0.25">
      <c r="B12" s="40" t="str">
        <f>+FormularioFODA!B12</f>
        <v>Propuesta de Valor</v>
      </c>
      <c r="C12" s="12" t="str">
        <f>+CalculosFoda!AF10</f>
        <v>Diferenciación del producto</v>
      </c>
      <c r="D12" s="37" t="str">
        <f>IF(AND(OR('CalculoFoda-1'!H10=1,'CalculoFoda-1'!I10=1),OR('CalculoFoda-1'!H131=1,'CalculoFoda-1'!I131=1)),CalculosFoda!AF131,"")</f>
        <v/>
      </c>
      <c r="E12" s="37" t="str">
        <f>IF(AND(OR('CalculoFoda-1'!H10=1,'CalculoFoda-1'!I10=1),OR('CalculoFoda-1'!F131=1,'CalculoFoda-1'!G131=1)),CalculosFoda!AF131,"")</f>
        <v/>
      </c>
      <c r="F12" s="37" t="str">
        <f>IF(AND(OR('CalculoFoda-1'!F10=1,'CalculoFoda-1'!G10=1),OR('CalculoFoda-1'!H131=1,'CalculoFoda-1'!I131=1)),CalculosFoda!AF131,"")</f>
        <v/>
      </c>
      <c r="G12" s="37" t="str">
        <f>IF(AND(OR('CalculoFoda-1'!F10=1,'CalculoFoda-1'!G10=1),OR('CalculoFoda-1'!F131=1,'CalculoFoda-1'!G131=1)),CalculosFoda!AF131,"")</f>
        <v>Rivalidad y competidores internacionales</v>
      </c>
      <c r="H12" s="37" t="str">
        <f>IF(OR(NOT(OR('CalculoFoda-1'!F10=1,'CalculoFoda-1'!G10=1,'CalculoFoda-1'!H10=1,'CalculoFoda-1'!I10=1)),NOT(OR('CalculoFoda-1'!F131=1,'CalculoFoda-1'!G131=1,'CalculoFoda-1'!H131=1,'CalculoFoda-1'!I131=1))),"sin dato: "&amp;CalculosFoda!AF131,"")</f>
        <v/>
      </c>
    </row>
    <row r="13" spans="2:8" x14ac:dyDescent="0.25">
      <c r="D13" s="37" t="str">
        <f>IF(AND(OR('CalculoFoda-1'!H10=1,'CalculoFoda-1'!I10=1),OR('CalculoFoda-1'!H105=1,'CalculoFoda-1'!I105=1)),CalculosFoda!AF105,"")</f>
        <v/>
      </c>
      <c r="E13" s="37" t="str">
        <f>IF(AND(OR('CalculoFoda-1'!H10=1,'CalculoFoda-1'!I10=1),OR('CalculoFoda-1'!F105=1,'CalculoFoda-1'!G105=1)),CalculosFoda!AF105,"")</f>
        <v/>
      </c>
      <c r="F13" s="37" t="str">
        <f>IF(AND(OR('CalculoFoda-1'!F10=1,'CalculoFoda-1'!G10=1),OR('CalculoFoda-1'!H105=1,'CalculoFoda-1'!I105=1)),CalculosFoda!AF105,"")</f>
        <v/>
      </c>
      <c r="G13" s="37" t="str">
        <f>IF(AND(OR('CalculoFoda-1'!F10=1,'CalculoFoda-1'!G10=1),OR('CalculoFoda-1'!F105=1,'CalculoFoda-1'!G105=1)),CalculosFoda!AF105,"")</f>
        <v>Afinidad cultural y hábitos de consumo</v>
      </c>
      <c r="H13" s="37" t="str">
        <f>IF(OR(NOT(OR('CalculoFoda-1'!F10=1,'CalculoFoda-1'!G10=1,'CalculoFoda-1'!H10=1,'CalculoFoda-1'!I10=1)),NOT(OR('CalculoFoda-1'!F105=1,'CalculoFoda-1'!G105=1,'CalculoFoda-1'!H105=1,'CalculoFoda-1'!I105=1))),"sin dato: "&amp;CalculosFoda!AF105,"")</f>
        <v/>
      </c>
    </row>
    <row r="14" spans="2:8" x14ac:dyDescent="0.25">
      <c r="C14" s="12" t="str">
        <f>+CalculosFoda!AF11</f>
        <v>Adecuación a requisitos del mercado destino</v>
      </c>
      <c r="D14" s="37" t="str">
        <f>IF(AND(OR('CalculoFoda-1'!H11=1,'CalculoFoda-1'!I11=1),OR('CalculoFoda-1'!H89=1,'CalculoFoda-1'!I89=1)),CalculosFoda!AF89,"")</f>
        <v>Barreras arancelarias y técnicas del destino</v>
      </c>
      <c r="E14" s="37" t="str">
        <f>IF(AND(OR('CalculoFoda-1'!H11=1,'CalculoFoda-1'!I11=1),OR('CalculoFoda-1'!F89=1,'CalculoFoda-1'!G89=1)),CalculosFoda!AF89,"")</f>
        <v/>
      </c>
      <c r="F14" s="37" t="str">
        <f>IF(AND(OR('CalculoFoda-1'!F11=1,'CalculoFoda-1'!G11=1),OR('CalculoFoda-1'!H89=1,'CalculoFoda-1'!I89=1)),CalculosFoda!AF89,"")</f>
        <v/>
      </c>
      <c r="G14" s="37" t="str">
        <f>IF(AND(OR('CalculoFoda-1'!F11=1,'CalculoFoda-1'!G11=1),OR('CalculoFoda-1'!F89=1,'CalculoFoda-1'!G89=1)),CalculosFoda!AF89,"")</f>
        <v/>
      </c>
      <c r="H14" s="37" t="str">
        <f>IF(OR(NOT(OR('CalculoFoda-1'!F11=1,'CalculoFoda-1'!G11=1,'CalculoFoda-1'!H11=1,'CalculoFoda-1'!I11=1)),NOT(OR('CalculoFoda-1'!F89=1,'CalculoFoda-1'!G89=1,'CalculoFoda-1'!H89=1,'CalculoFoda-1'!I89=1))),"sin dato: "&amp;CalculosFoda!AF89,"")</f>
        <v/>
      </c>
    </row>
    <row r="15" spans="2:8" x14ac:dyDescent="0.25">
      <c r="D15" s="37" t="str">
        <f>IF(AND(OR('CalculoFoda-1'!H11=1,'CalculoFoda-1'!I11=1),OR('CalculoFoda-1'!H146=1,'CalculoFoda-1'!I146=1)),CalculosFoda!AF146,"")</f>
        <v/>
      </c>
      <c r="E15" s="37" t="str">
        <f>IF(AND(OR('CalculoFoda-1'!H11=1,'CalculoFoda-1'!I11=1),OR('CalculoFoda-1'!F146=1,'CalculoFoda-1'!G146=1)),CalculosFoda!AF146,"")</f>
        <v>Requisitos sanitarios y fitosanitarios del destino</v>
      </c>
      <c r="F15" s="37" t="str">
        <f>IF(AND(OR('CalculoFoda-1'!F11=1,'CalculoFoda-1'!G11=1),OR('CalculoFoda-1'!H146=1,'CalculoFoda-1'!I146=1)),CalculosFoda!AF146,"")</f>
        <v/>
      </c>
      <c r="G15" s="37" t="str">
        <f>IF(AND(OR('CalculoFoda-1'!F11=1,'CalculoFoda-1'!G11=1),OR('CalculoFoda-1'!F146=1,'CalculoFoda-1'!G146=1)),CalculosFoda!AF146,"")</f>
        <v/>
      </c>
      <c r="H15" s="37" t="str">
        <f>IF(OR(NOT(OR('CalculoFoda-1'!F11=1,'CalculoFoda-1'!G11=1,'CalculoFoda-1'!H11=1,'CalculoFoda-1'!I11=1)),NOT(OR('CalculoFoda-1'!F146=1,'CalculoFoda-1'!G146=1,'CalculoFoda-1'!H146=1,'CalculoFoda-1'!I146=1))),"sin dato: "&amp;CalculosFoda!AF146,"")</f>
        <v/>
      </c>
    </row>
    <row r="16" spans="2:8" x14ac:dyDescent="0.25">
      <c r="C16" s="12" t="str">
        <f>+CalculosFoda!AF12</f>
        <v>Certificaciones y normas de producto</v>
      </c>
      <c r="D16" s="37" t="str">
        <f>IF(AND(OR('CalculoFoda-1'!H12=1,'CalculoFoda-1'!I12=1),OR('CalculoFoda-1'!H147=1,'CalculoFoda-1'!I147=1)),CalculosFoda!AF147,"")</f>
        <v/>
      </c>
      <c r="E16" s="37" t="str">
        <f>IF(AND(OR('CalculoFoda-1'!H12=1,'CalculoFoda-1'!I12=1),OR('CalculoFoda-1'!F147=1,'CalculoFoda-1'!G147=1)),CalculosFoda!AF147,"")</f>
        <v/>
      </c>
      <c r="F16" s="37" t="str">
        <f>IF(AND(OR('CalculoFoda-1'!F12=1,'CalculoFoda-1'!G12=1),OR('CalculoFoda-1'!H147=1,'CalculoFoda-1'!I147=1)),CalculosFoda!AF147,"")</f>
        <v>Certificaciones exigidas por los compradores</v>
      </c>
      <c r="G16" s="37" t="str">
        <f>IF(AND(OR('CalculoFoda-1'!F12=1,'CalculoFoda-1'!G12=1),OR('CalculoFoda-1'!F147=1,'CalculoFoda-1'!G147=1)),CalculosFoda!AF147,"")</f>
        <v/>
      </c>
      <c r="H16" s="37" t="str">
        <f>IF(OR(NOT(OR('CalculoFoda-1'!F12=1,'CalculoFoda-1'!G12=1,'CalculoFoda-1'!H12=1,'CalculoFoda-1'!I12=1)),NOT(OR('CalculoFoda-1'!F147=1,'CalculoFoda-1'!G147=1,'CalculoFoda-1'!H147=1,'CalculoFoda-1'!I147=1))),"sin dato: "&amp;CalculosFoda!AF147,"")</f>
        <v/>
      </c>
    </row>
    <row r="17" spans="2:8" x14ac:dyDescent="0.25">
      <c r="D17" s="37" t="str">
        <f>IF(AND(OR('CalculoFoda-1'!H12=1,'CalculoFoda-1'!I12=1),OR('CalculoFoda-1'!H89=1,'CalculoFoda-1'!I89=1)),CalculosFoda!AF89,"")</f>
        <v/>
      </c>
      <c r="E17" s="37" t="str">
        <f>IF(AND(OR('CalculoFoda-1'!H12=1,'CalculoFoda-1'!I12=1),OR('CalculoFoda-1'!F89=1,'CalculoFoda-1'!G89=1)),CalculosFoda!AF89,"")</f>
        <v/>
      </c>
      <c r="F17" s="37" t="str">
        <f>IF(AND(OR('CalculoFoda-1'!F12=1,'CalculoFoda-1'!G12=1),OR('CalculoFoda-1'!H89=1,'CalculoFoda-1'!I89=1)),CalculosFoda!AF89,"")</f>
        <v>Barreras arancelarias y técnicas del destino</v>
      </c>
      <c r="G17" s="37" t="str">
        <f>IF(AND(OR('CalculoFoda-1'!F12=1,'CalculoFoda-1'!G12=1),OR('CalculoFoda-1'!F89=1,'CalculoFoda-1'!G89=1)),CalculosFoda!AF89,"")</f>
        <v/>
      </c>
      <c r="H17" s="37" t="str">
        <f>IF(OR(NOT(OR('CalculoFoda-1'!F12=1,'CalculoFoda-1'!G12=1,'CalculoFoda-1'!H12=1,'CalculoFoda-1'!I12=1)),NOT(OR('CalculoFoda-1'!F89=1,'CalculoFoda-1'!G89=1,'CalculoFoda-1'!H89=1,'CalculoFoda-1'!I89=1))),"sin dato: "&amp;CalculosFoda!AF89,"")</f>
        <v/>
      </c>
    </row>
    <row r="18" spans="2:8" x14ac:dyDescent="0.25">
      <c r="C18" s="12" t="str">
        <f>+CalculosFoda!AF13</f>
        <v>Competitividad de precio internacional</v>
      </c>
      <c r="D18" s="37" t="str">
        <f>IF(AND(OR('CalculoFoda-1'!H13=1,'CalculoFoda-1'!I13=1),OR('CalculoFoda-1'!H97=1,'CalculoFoda-1'!I97=1)),CalculosFoda!AF97,"")</f>
        <v/>
      </c>
      <c r="E18" s="37" t="str">
        <f>IF(AND(OR('CalculoFoda-1'!H13=1,'CalculoFoda-1'!I13=1),OR('CalculoFoda-1'!F97=1,'CalculoFoda-1'!G97=1)),CalculosFoda!AF97,"")</f>
        <v>Tipo de cambio y competitividad</v>
      </c>
      <c r="F18" s="37" t="str">
        <f>IF(AND(OR('CalculoFoda-1'!F13=1,'CalculoFoda-1'!G13=1),OR('CalculoFoda-1'!H97=1,'CalculoFoda-1'!I97=1)),CalculosFoda!AF97,"")</f>
        <v/>
      </c>
      <c r="G18" s="37" t="str">
        <f>IF(AND(OR('CalculoFoda-1'!F13=1,'CalculoFoda-1'!G13=1),OR('CalculoFoda-1'!F97=1,'CalculoFoda-1'!G97=1)),CalculosFoda!AF97,"")</f>
        <v/>
      </c>
      <c r="H18" s="37" t="str">
        <f>IF(OR(NOT(OR('CalculoFoda-1'!F13=1,'CalculoFoda-1'!G13=1,'CalculoFoda-1'!H13=1,'CalculoFoda-1'!I13=1)),NOT(OR('CalculoFoda-1'!F97=1,'CalculoFoda-1'!G97=1,'CalculoFoda-1'!H97=1,'CalculoFoda-1'!I97=1))),"sin dato: "&amp;CalculosFoda!AF97,"")</f>
        <v/>
      </c>
    </row>
    <row r="19" spans="2:8" x14ac:dyDescent="0.25">
      <c r="D19" s="37" t="str">
        <f>IF(AND(OR('CalculoFoda-1'!H13=1,'CalculoFoda-1'!I13=1),OR('CalculoFoda-1'!H102=1,'CalculoFoda-1'!I102=1)),CalculosFoda!AF102,"")</f>
        <v>Precios internacionales del producto</v>
      </c>
      <c r="E19" s="37" t="str">
        <f>IF(AND(OR('CalculoFoda-1'!H13=1,'CalculoFoda-1'!I13=1),OR('CalculoFoda-1'!F102=1,'CalculoFoda-1'!G102=1)),CalculosFoda!AF102,"")</f>
        <v/>
      </c>
      <c r="F19" s="37" t="str">
        <f>IF(AND(OR('CalculoFoda-1'!F13=1,'CalculoFoda-1'!G13=1),OR('CalculoFoda-1'!H102=1,'CalculoFoda-1'!I102=1)),CalculosFoda!AF102,"")</f>
        <v/>
      </c>
      <c r="G19" s="37" t="str">
        <f>IF(AND(OR('CalculoFoda-1'!F13=1,'CalculoFoda-1'!G13=1),OR('CalculoFoda-1'!F102=1,'CalculoFoda-1'!G102=1)),CalculosFoda!AF102,"")</f>
        <v/>
      </c>
      <c r="H19" s="37" t="str">
        <f>IF(OR(NOT(OR('CalculoFoda-1'!F13=1,'CalculoFoda-1'!G13=1,'CalculoFoda-1'!H13=1,'CalculoFoda-1'!I13=1)),NOT(OR('CalculoFoda-1'!F102=1,'CalculoFoda-1'!G102=1,'CalculoFoda-1'!H102=1,'CalculoFoda-1'!I102=1))),"sin dato: "&amp;CalculosFoda!AF102,"")</f>
        <v/>
      </c>
    </row>
    <row r="20" spans="2:8" x14ac:dyDescent="0.25">
      <c r="D20" s="37" t="str">
        <f>IF(AND(OR('CalculoFoda-1'!H13=1,'CalculoFoda-1'!I13=1),OR('CalculoFoda-1'!H131=1,'CalculoFoda-1'!I131=1)),CalculosFoda!AF131,"")</f>
        <v/>
      </c>
      <c r="E20" s="37" t="str">
        <f>IF(AND(OR('CalculoFoda-1'!H13=1,'CalculoFoda-1'!I13=1),OR('CalculoFoda-1'!F131=1,'CalculoFoda-1'!G131=1)),CalculosFoda!AF131,"")</f>
        <v>Rivalidad y competidores internacionales</v>
      </c>
      <c r="F20" s="37" t="str">
        <f>IF(AND(OR('CalculoFoda-1'!F13=1,'CalculoFoda-1'!G13=1),OR('CalculoFoda-1'!H131=1,'CalculoFoda-1'!I131=1)),CalculosFoda!AF131,"")</f>
        <v/>
      </c>
      <c r="G20" s="37" t="str">
        <f>IF(AND(OR('CalculoFoda-1'!F13=1,'CalculoFoda-1'!G13=1),OR('CalculoFoda-1'!F131=1,'CalculoFoda-1'!G131=1)),CalculosFoda!AF131,"")</f>
        <v/>
      </c>
      <c r="H20" s="37" t="str">
        <f>IF(OR(NOT(OR('CalculoFoda-1'!F13=1,'CalculoFoda-1'!G13=1,'CalculoFoda-1'!H13=1,'CalculoFoda-1'!I13=1)),NOT(OR('CalculoFoda-1'!F131=1,'CalculoFoda-1'!G131=1,'CalculoFoda-1'!H131=1,'CalculoFoda-1'!I131=1))),"sin dato: "&amp;CalculosFoda!AF131,"")</f>
        <v/>
      </c>
    </row>
    <row r="21" spans="2:8" x14ac:dyDescent="0.25">
      <c r="C21" s="12" t="str">
        <f>+CalculosFoda!AF14</f>
        <v>Marca, presentación y material comercial</v>
      </c>
      <c r="D21" s="37" t="str">
        <f>IF(AND(OR('CalculoFoda-1'!H14=1,'CalculoFoda-1'!I14=1),OR('CalculoFoda-1'!H92=1,'CalculoFoda-1'!I92=1)),CalculosFoda!AF92,"")</f>
        <v>Propiedad intelectual y seguridad jurídica</v>
      </c>
      <c r="E21" s="37" t="str">
        <f>IF(AND(OR('CalculoFoda-1'!H14=1,'CalculoFoda-1'!I14=1),OR('CalculoFoda-1'!F92=1,'CalculoFoda-1'!G92=1)),CalculosFoda!AF92,"")</f>
        <v/>
      </c>
      <c r="F21" s="37" t="str">
        <f>IF(AND(OR('CalculoFoda-1'!F14=1,'CalculoFoda-1'!G14=1),OR('CalculoFoda-1'!H92=1,'CalculoFoda-1'!I92=1)),CalculosFoda!AF92,"")</f>
        <v/>
      </c>
      <c r="G21" s="37" t="str">
        <f>IF(AND(OR('CalculoFoda-1'!F14=1,'CalculoFoda-1'!G14=1),OR('CalculoFoda-1'!F92=1,'CalculoFoda-1'!G92=1)),CalculosFoda!AF92,"")</f>
        <v/>
      </c>
      <c r="H21" s="37" t="str">
        <f>IF(OR(NOT(OR('CalculoFoda-1'!F14=1,'CalculoFoda-1'!G14=1,'CalculoFoda-1'!H14=1,'CalculoFoda-1'!I14=1)),NOT(OR('CalculoFoda-1'!F92=1,'CalculoFoda-1'!G92=1,'CalculoFoda-1'!H92=1,'CalculoFoda-1'!I92=1))),"sin dato: "&amp;CalculosFoda!AF92,"")</f>
        <v/>
      </c>
    </row>
    <row r="22" spans="2:8" x14ac:dyDescent="0.25">
      <c r="C22" s="12" t="str">
        <f>+CalculosFoda!AF15</f>
        <v>Origen e identidad regional</v>
      </c>
      <c r="D22" s="37" t="str">
        <f>IF(AND(OR('CalculoFoda-1'!H15=1,'CalculoFoda-1'!I15=1),OR('CalculoFoda-1'!H107=1,'CalculoFoda-1'!I107=1)),CalculosFoda!AF107,"")</f>
        <v/>
      </c>
      <c r="E22" s="37" t="str">
        <f>IF(AND(OR('CalculoFoda-1'!H15=1,'CalculoFoda-1'!I15=1),OR('CalculoFoda-1'!F107=1,'CalculoFoda-1'!G107=1)),CalculosFoda!AF107,"")</f>
        <v/>
      </c>
      <c r="F22" s="37" t="str">
        <f>IF(AND(OR('CalculoFoda-1'!F15=1,'CalculoFoda-1'!G15=1),OR('CalculoFoda-1'!H107=1,'CalculoFoda-1'!I107=1)),CalculosFoda!AF107,"")</f>
        <v/>
      </c>
      <c r="G22" s="37" t="str">
        <f>IF(AND(OR('CalculoFoda-1'!F15=1,'CalculoFoda-1'!G15=1),OR('CalculoFoda-1'!F107=1,'CalculoFoda-1'!G107=1)),CalculosFoda!AF107,"")</f>
        <v>Valoración del origen y la sustentabilidad</v>
      </c>
      <c r="H22" s="37" t="str">
        <f>IF(OR(NOT(OR('CalculoFoda-1'!F15=1,'CalculoFoda-1'!G15=1,'CalculoFoda-1'!H15=1,'CalculoFoda-1'!I15=1)),NOT(OR('CalculoFoda-1'!F107=1,'CalculoFoda-1'!G107=1,'CalculoFoda-1'!H107=1,'CalculoFoda-1'!I107=1))),"sin dato: "&amp;CalculosFoda!AF107,"")</f>
        <v/>
      </c>
    </row>
    <row r="23" spans="2:8" x14ac:dyDescent="0.25">
      <c r="D23" s="37" t="str">
        <f>IF(AND(OR('CalculoFoda-1'!H15=1,'CalculoFoda-1'!I15=1),OR('CalculoFoda-1'!H92=1,'CalculoFoda-1'!I92=1)),CalculosFoda!AF92,"")</f>
        <v/>
      </c>
      <c r="E23" s="37" t="str">
        <f>IF(AND(OR('CalculoFoda-1'!H15=1,'CalculoFoda-1'!I15=1),OR('CalculoFoda-1'!F92=1,'CalculoFoda-1'!G92=1)),CalculosFoda!AF92,"")</f>
        <v/>
      </c>
      <c r="F23" s="37" t="str">
        <f>IF(AND(OR('CalculoFoda-1'!F15=1,'CalculoFoda-1'!G15=1),OR('CalculoFoda-1'!H92=1,'CalculoFoda-1'!I92=1)),CalculosFoda!AF92,"")</f>
        <v>Propiedad intelectual y seguridad jurídica</v>
      </c>
      <c r="G23" s="37" t="str">
        <f>IF(AND(OR('CalculoFoda-1'!F15=1,'CalculoFoda-1'!G15=1),OR('CalculoFoda-1'!F92=1,'CalculoFoda-1'!G92=1)),CalculosFoda!AF92,"")</f>
        <v/>
      </c>
      <c r="H23" s="37" t="str">
        <f>IF(OR(NOT(OR('CalculoFoda-1'!F15=1,'CalculoFoda-1'!G15=1,'CalculoFoda-1'!H15=1,'CalculoFoda-1'!I15=1)),NOT(OR('CalculoFoda-1'!F92=1,'CalculoFoda-1'!G92=1,'CalculoFoda-1'!H92=1,'CalculoFoda-1'!I92=1))),"sin dato: "&amp;CalculosFoda!AF92,"")</f>
        <v/>
      </c>
    </row>
    <row r="24" spans="2:8" x14ac:dyDescent="0.25">
      <c r="C24" s="12" t="str">
        <f>+CalculosFoda!AF16</f>
        <v>Amplitud de línea y desarrollo de nuevos productos</v>
      </c>
      <c r="D24" s="37" t="str">
        <f>IF(AND(OR('CalculoFoda-1'!H16=1,'CalculoFoda-1'!I16=1),OR('CalculoFoda-1'!H112=1,'CalculoFoda-1'!I112=1)),CalculosFoda!AF112,"")</f>
        <v/>
      </c>
      <c r="E24" s="37" t="str">
        <f>IF(AND(OR('CalculoFoda-1'!H16=1,'CalculoFoda-1'!I16=1),OR('CalculoFoda-1'!F112=1,'CalculoFoda-1'!G112=1)),CalculosFoda!AF112,"")</f>
        <v/>
      </c>
      <c r="F24" s="37" t="str">
        <f>IF(AND(OR('CalculoFoda-1'!F16=1,'CalculoFoda-1'!G16=1),OR('CalculoFoda-1'!H112=1,'CalculoFoda-1'!I112=1)),CalculosFoda!AF112,"")</f>
        <v/>
      </c>
      <c r="G24" s="37" t="str">
        <f>IF(AND(OR('CalculoFoda-1'!F16=1,'CalculoFoda-1'!G16=1),OR('CalculoFoda-1'!F112=1,'CalculoFoda-1'!G112=1)),CalculosFoda!AF112,"")</f>
        <v>Avances tecnológicos del sector</v>
      </c>
      <c r="H24" s="37" t="str">
        <f>IF(OR(NOT(OR('CalculoFoda-1'!F16=1,'CalculoFoda-1'!G16=1,'CalculoFoda-1'!H16=1,'CalculoFoda-1'!I16=1)),NOT(OR('CalculoFoda-1'!F112=1,'CalculoFoda-1'!G112=1,'CalculoFoda-1'!H112=1,'CalculoFoda-1'!I112=1))),"sin dato: "&amp;CalculosFoda!AF112,"")</f>
        <v/>
      </c>
    </row>
    <row r="25" spans="2:8" x14ac:dyDescent="0.25">
      <c r="D25" s="37" t="str">
        <f>IF(AND(OR('CalculoFoda-1'!H16=1,'CalculoFoda-1'!I16=1),OR('CalculoFoda-1'!H129=1,'CalculoFoda-1'!I129=1)),CalculosFoda!AF129,"")</f>
        <v/>
      </c>
      <c r="E25" s="37" t="str">
        <f>IF(AND(OR('CalculoFoda-1'!H16=1,'CalculoFoda-1'!I16=1),OR('CalculoFoda-1'!F129=1,'CalculoFoda-1'!G129=1)),CalculosFoda!AF129,"")</f>
        <v/>
      </c>
      <c r="F25" s="37" t="str">
        <f>IF(AND(OR('CalculoFoda-1'!F16=1,'CalculoFoda-1'!G16=1),OR('CalculoFoda-1'!H129=1,'CalculoFoda-1'!I129=1)),CalculosFoda!AF129,"")</f>
        <v/>
      </c>
      <c r="G25" s="37" t="str">
        <f>IF(AND(OR('CalculoFoda-1'!F16=1,'CalculoFoda-1'!G16=1),OR('CalculoFoda-1'!F129=1,'CalculoFoda-1'!G129=1)),CalculosFoda!AF129,"")</f>
        <v>Tamaño y crecimiento del mercado destino</v>
      </c>
      <c r="H25" s="37" t="str">
        <f>IF(OR(NOT(OR('CalculoFoda-1'!F16=1,'CalculoFoda-1'!G16=1,'CalculoFoda-1'!H16=1,'CalculoFoda-1'!I16=1)),NOT(OR('CalculoFoda-1'!F129=1,'CalculoFoda-1'!G129=1,'CalculoFoda-1'!H129=1,'CalculoFoda-1'!I129=1))),"sin dato: "&amp;CalculosFoda!AF129,"")</f>
        <v/>
      </c>
    </row>
    <row r="27" spans="2:8" x14ac:dyDescent="0.25">
      <c r="B27" s="40" t="str">
        <f>+FormularioFODA!B21</f>
        <v>Canales</v>
      </c>
      <c r="C27" s="12" t="str">
        <f>+CalculosFoda!AF19</f>
        <v>Canales de comercialización externos</v>
      </c>
      <c r="D27" s="37" t="str">
        <f>IF(AND(OR('CalculoFoda-1'!H19=1,'CalculoFoda-1'!I19=1),OR('CalculoFoda-1'!H127=1,'CalculoFoda-1'!I127=1)),CalculosFoda!AF127,"")</f>
        <v/>
      </c>
      <c r="E27" s="37" t="str">
        <f>IF(AND(OR('CalculoFoda-1'!H19=1,'CalculoFoda-1'!I19=1),OR('CalculoFoda-1'!F127=1,'CalculoFoda-1'!G127=1)),CalculosFoda!AF127,"")</f>
        <v/>
      </c>
      <c r="F27" s="37" t="str">
        <f>IF(AND(OR('CalculoFoda-1'!F19=1,'CalculoFoda-1'!G19=1),OR('CalculoFoda-1'!H127=1,'CalculoFoda-1'!I127=1)),CalculosFoda!AF127,"")</f>
        <v/>
      </c>
      <c r="G27" s="37" t="str">
        <f>IF(AND(OR('CalculoFoda-1'!F19=1,'CalculoFoda-1'!G19=1),OR('CalculoFoda-1'!F127=1,'CalculoFoda-1'!G127=1)),CalculosFoda!AF127,"")</f>
        <v/>
      </c>
      <c r="H27" s="37" t="str">
        <f>IF(OR(NOT(OR('CalculoFoda-1'!F19=1,'CalculoFoda-1'!G19=1,'CalculoFoda-1'!H19=1,'CalculoFoda-1'!I19=1)),NOT(OR('CalculoFoda-1'!F127=1,'CalculoFoda-1'!G127=1,'CalculoFoda-1'!H127=1,'CalculoFoda-1'!I127=1))),"sin dato: "&amp;CalculosFoda!AF127,"")</f>
        <v>sin dato: Barreras de entrada al mercado destino</v>
      </c>
    </row>
    <row r="28" spans="2:8" x14ac:dyDescent="0.25">
      <c r="D28" s="37" t="str">
        <f>IF(AND(OR('CalculoFoda-1'!H19=1,'CalculoFoda-1'!I19=1),OR('CalculoFoda-1'!H113=1,'CalculoFoda-1'!I113=1)),CalculosFoda!AF113,"")</f>
        <v/>
      </c>
      <c r="E28" s="37" t="str">
        <f>IF(AND(OR('CalculoFoda-1'!H19=1,'CalculoFoda-1'!I19=1),OR('CalculoFoda-1'!F113=1,'CalculoFoda-1'!G113=1)),CalculosFoda!AF113,"")</f>
        <v>Conectividad y plataformas de comercio electrónico</v>
      </c>
      <c r="F28" s="37" t="str">
        <f>IF(AND(OR('CalculoFoda-1'!F19=1,'CalculoFoda-1'!G19=1),OR('CalculoFoda-1'!H113=1,'CalculoFoda-1'!I113=1)),CalculosFoda!AF113,"")</f>
        <v/>
      </c>
      <c r="G28" s="37" t="str">
        <f>IF(AND(OR('CalculoFoda-1'!F19=1,'CalculoFoda-1'!G19=1),OR('CalculoFoda-1'!F113=1,'CalculoFoda-1'!G113=1)),CalculosFoda!AF113,"")</f>
        <v/>
      </c>
      <c r="H28" s="37" t="str">
        <f>IF(OR(NOT(OR('CalculoFoda-1'!F19=1,'CalculoFoda-1'!G19=1,'CalculoFoda-1'!H19=1,'CalculoFoda-1'!I19=1)),NOT(OR('CalculoFoda-1'!F113=1,'CalculoFoda-1'!G113=1,'CalculoFoda-1'!H113=1,'CalculoFoda-1'!I113=1))),"sin dato: "&amp;CalculosFoda!AF113,"")</f>
        <v/>
      </c>
    </row>
    <row r="29" spans="2:8" x14ac:dyDescent="0.25">
      <c r="C29" s="12" t="str">
        <f>+CalculosFoda!AF20</f>
        <v>Presencia digital y venta online</v>
      </c>
      <c r="D29" s="37" t="str">
        <f>IF(AND(OR('CalculoFoda-1'!H20=1,'CalculoFoda-1'!I20=1),OR('CalculoFoda-1'!H113=1,'CalculoFoda-1'!I113=1)),CalculosFoda!AF113,"")</f>
        <v/>
      </c>
      <c r="E29" s="37" t="str">
        <f>IF(AND(OR('CalculoFoda-1'!H20=1,'CalculoFoda-1'!I20=1),OR('CalculoFoda-1'!F113=1,'CalculoFoda-1'!G113=1)),CalculosFoda!AF113,"")</f>
        <v/>
      </c>
      <c r="F29" s="37" t="str">
        <f>IF(AND(OR('CalculoFoda-1'!F20=1,'CalculoFoda-1'!G20=1),OR('CalculoFoda-1'!H113=1,'CalculoFoda-1'!I113=1)),CalculosFoda!AF113,"")</f>
        <v/>
      </c>
      <c r="G29" s="37" t="str">
        <f>IF(AND(OR('CalculoFoda-1'!F20=1,'CalculoFoda-1'!G20=1),OR('CalculoFoda-1'!F113=1,'CalculoFoda-1'!G113=1)),CalculosFoda!AF113,"")</f>
        <v>Conectividad y plataformas de comercio electrónico</v>
      </c>
      <c r="H29" s="37" t="str">
        <f>IF(OR(NOT(OR('CalculoFoda-1'!F20=1,'CalculoFoda-1'!G20=1,'CalculoFoda-1'!H20=1,'CalculoFoda-1'!I20=1)),NOT(OR('CalculoFoda-1'!F113=1,'CalculoFoda-1'!G113=1,'CalculoFoda-1'!H113=1,'CalculoFoda-1'!I113=1))),"sin dato: "&amp;CalculosFoda!AF113,"")</f>
        <v/>
      </c>
    </row>
    <row r="30" spans="2:8" x14ac:dyDescent="0.25">
      <c r="D30" s="37" t="str">
        <f>IF(AND(OR('CalculoFoda-1'!H20=1,'CalculoFoda-1'!I20=1),OR('CalculoFoda-1'!H114=1,'CalculoFoda-1'!I114=1)),CalculosFoda!AF114,"")</f>
        <v/>
      </c>
      <c r="E30" s="37" t="str">
        <f>IF(AND(OR('CalculoFoda-1'!H20=1,'CalculoFoda-1'!I20=1),OR('CalculoFoda-1'!F114=1,'CalculoFoda-1'!G114=1)),CalculosFoda!AF114,"")</f>
        <v/>
      </c>
      <c r="F30" s="37" t="str">
        <f>IF(AND(OR('CalculoFoda-1'!F20=1,'CalculoFoda-1'!G20=1),OR('CalculoFoda-1'!H114=1,'CalculoFoda-1'!I114=1)),CalculosFoda!AF114,"")</f>
        <v/>
      </c>
      <c r="G30" s="37" t="str">
        <f>IF(AND(OR('CalculoFoda-1'!F20=1,'CalculoFoda-1'!G20=1),OR('CalculoFoda-1'!F114=1,'CalculoFoda-1'!G114=1)),CalculosFoda!AF114,"")</f>
        <v>Digitalización del comercio exterior</v>
      </c>
      <c r="H30" s="37" t="str">
        <f>IF(OR(NOT(OR('CalculoFoda-1'!F20=1,'CalculoFoda-1'!G20=1,'CalculoFoda-1'!H20=1,'CalculoFoda-1'!I20=1)),NOT(OR('CalculoFoda-1'!F114=1,'CalculoFoda-1'!G114=1,'CalculoFoda-1'!H114=1,'CalculoFoda-1'!I114=1))),"sin dato: "&amp;CalculosFoda!AF114,"")</f>
        <v/>
      </c>
    </row>
    <row r="31" spans="2:8" x14ac:dyDescent="0.25">
      <c r="C31" s="12" t="str">
        <f>+CalculosFoda!AF21</f>
        <v>Promoción internacional</v>
      </c>
      <c r="D31" s="37" t="str">
        <f>IF(AND(OR('CalculoFoda-1'!H21=1,'CalculoFoda-1'!I21=1),OR('CalculoFoda-1'!H91=1,'CalculoFoda-1'!I91=1)),CalculosFoda!AF91,"")</f>
        <v/>
      </c>
      <c r="E31" s="37" t="str">
        <f>IF(AND(OR('CalculoFoda-1'!H21=1,'CalculoFoda-1'!I21=1),OR('CalculoFoda-1'!F91=1,'CalculoFoda-1'!G91=1)),CalculosFoda!AF91,"")</f>
        <v/>
      </c>
      <c r="F31" s="37" t="str">
        <f>IF(AND(OR('CalculoFoda-1'!F21=1,'CalculoFoda-1'!G21=1),OR('CalculoFoda-1'!H91=1,'CalculoFoda-1'!I91=1)),CalculosFoda!AF91,"")</f>
        <v/>
      </c>
      <c r="G31" s="37" t="str">
        <f>IF(AND(OR('CalculoFoda-1'!F21=1,'CalculoFoda-1'!G21=1),OR('CalculoFoda-1'!F91=1,'CalculoFoda-1'!G91=1)),CalculosFoda!AF91,"")</f>
        <v>Promoción y fomento a exportadores</v>
      </c>
      <c r="H31" s="37" t="str">
        <f>IF(OR(NOT(OR('CalculoFoda-1'!F21=1,'CalculoFoda-1'!G21=1,'CalculoFoda-1'!H21=1,'CalculoFoda-1'!I21=1)),NOT(OR('CalculoFoda-1'!F91=1,'CalculoFoda-1'!G91=1,'CalculoFoda-1'!H91=1,'CalculoFoda-1'!I91=1))),"sin dato: "&amp;CalculosFoda!AF91,"")</f>
        <v/>
      </c>
    </row>
    <row r="32" spans="2:8" x14ac:dyDescent="0.25">
      <c r="C32" s="12" t="str">
        <f>+CalculosFoda!AF22</f>
        <v>Logística y embalaje de exportación</v>
      </c>
      <c r="D32" s="37" t="str">
        <f>IF(AND(OR('CalculoFoda-1'!H22=1,'CalculoFoda-1'!I22=1),OR('CalculoFoda-1'!H118=1,'CalculoFoda-1'!I118=1)),CalculosFoda!AF118,"")</f>
        <v/>
      </c>
      <c r="E32" s="37" t="str">
        <f>IF(AND(OR('CalculoFoda-1'!H22=1,'CalculoFoda-1'!I22=1),OR('CalculoFoda-1'!F118=1,'CalculoFoda-1'!G118=1)),CalculosFoda!AF118,"")</f>
        <v/>
      </c>
      <c r="F32" s="37" t="str">
        <f>IF(AND(OR('CalculoFoda-1'!F22=1,'CalculoFoda-1'!G22=1),OR('CalculoFoda-1'!H118=1,'CalculoFoda-1'!I118=1)),CalculosFoda!AF118,"")</f>
        <v/>
      </c>
      <c r="G32" s="37" t="str">
        <f>IF(AND(OR('CalculoFoda-1'!F22=1,'CalculoFoda-1'!G22=1),OR('CalculoFoda-1'!F118=1,'CalculoFoda-1'!G118=1)),CalculosFoda!AF118,"")</f>
        <v>Red vial y conectividad multimodal</v>
      </c>
      <c r="H32" s="37" t="str">
        <f>IF(OR(NOT(OR('CalculoFoda-1'!F22=1,'CalculoFoda-1'!G22=1,'CalculoFoda-1'!H22=1,'CalculoFoda-1'!I22=1)),NOT(OR('CalculoFoda-1'!F118=1,'CalculoFoda-1'!G118=1,'CalculoFoda-1'!H118=1,'CalculoFoda-1'!I118=1))),"sin dato: "&amp;CalculosFoda!AF118,"")</f>
        <v/>
      </c>
    </row>
    <row r="33" spans="2:8" x14ac:dyDescent="0.25">
      <c r="D33" s="37" t="str">
        <f>IF(AND(OR('CalculoFoda-1'!H22=1,'CalculoFoda-1'!I22=1),OR('CalculoFoda-1'!H119=1,'CalculoFoda-1'!I119=1)),CalculosFoda!AF119,"")</f>
        <v/>
      </c>
      <c r="E33" s="37" t="str">
        <f>IF(AND(OR('CalculoFoda-1'!H22=1,'CalculoFoda-1'!I22=1),OR('CalculoFoda-1'!F119=1,'CalculoFoda-1'!G119=1)),CalculosFoda!AF119,"")</f>
        <v/>
      </c>
      <c r="F33" s="37" t="str">
        <f>IF(AND(OR('CalculoFoda-1'!F22=1,'CalculoFoda-1'!G22=1),OR('CalculoFoda-1'!H119=1,'CalculoFoda-1'!I119=1)),CalculosFoda!AF119,"")</f>
        <v/>
      </c>
      <c r="G33" s="37" t="str">
        <f>IF(AND(OR('CalculoFoda-1'!F22=1,'CalculoFoda-1'!G22=1),OR('CalculoFoda-1'!F119=1,'CalculoFoda-1'!G119=1)),CalculosFoda!AF119,"")</f>
        <v>Pasos de frontera y puentes internacionales</v>
      </c>
      <c r="H33" s="37" t="str">
        <f>IF(OR(NOT(OR('CalculoFoda-1'!F22=1,'CalculoFoda-1'!G22=1,'CalculoFoda-1'!H22=1,'CalculoFoda-1'!I22=1)),NOT(OR('CalculoFoda-1'!F119=1,'CalculoFoda-1'!G119=1,'CalculoFoda-1'!H119=1,'CalculoFoda-1'!I119=1))),"sin dato: "&amp;CalculosFoda!AF119,"")</f>
        <v/>
      </c>
    </row>
    <row r="34" spans="2:8" x14ac:dyDescent="0.25">
      <c r="D34" s="37" t="str">
        <f>IF(AND(OR('CalculoFoda-1'!H22=1,'CalculoFoda-1'!I22=1),OR('CalculoFoda-1'!H121=1,'CalculoFoda-1'!I121=1)),CalculosFoda!AF121,"")</f>
        <v/>
      </c>
      <c r="E34" s="37" t="str">
        <f>IF(AND(OR('CalculoFoda-1'!H22=1,'CalculoFoda-1'!I22=1),OR('CalculoFoda-1'!F121=1,'CalculoFoda-1'!G121=1)),CalculosFoda!AF121,"")</f>
        <v/>
      </c>
      <c r="F34" s="37" t="str">
        <f>IF(AND(OR('CalculoFoda-1'!F22=1,'CalculoFoda-1'!G22=1),OR('CalculoFoda-1'!H121=1,'CalculoFoda-1'!I121=1)),CalculosFoda!AF121,"")</f>
        <v/>
      </c>
      <c r="G34" s="37" t="str">
        <f>IF(AND(OR('CalculoFoda-1'!F22=1,'CalculoFoda-1'!G22=1),OR('CalculoFoda-1'!F121=1,'CalculoFoda-1'!G121=1)),CalculosFoda!AF121,"")</f>
        <v/>
      </c>
      <c r="H34" s="37" t="str">
        <f>IF(OR(NOT(OR('CalculoFoda-1'!F22=1,'CalculoFoda-1'!G22=1,'CalculoFoda-1'!H22=1,'CalculoFoda-1'!I22=1)),NOT(OR('CalculoFoda-1'!F121=1,'CalculoFoda-1'!G121=1,'CalculoFoda-1'!H121=1,'CalculoFoda-1'!I121=1))),"sin dato: "&amp;CalculosFoda!AF121,"")</f>
        <v>sin dato: Costo y disponibilidad de fletes</v>
      </c>
    </row>
    <row r="35" spans="2:8" x14ac:dyDescent="0.25">
      <c r="C35" s="12" t="str">
        <f>+CalculosFoda!AF23</f>
        <v>Gestión documental y aduanera</v>
      </c>
      <c r="D35" s="37" t="str">
        <f>IF(AND(OR('CalculoFoda-1'!H23=1,'CalculoFoda-1'!I23=1),OR('CalculoFoda-1'!H90=1,'CalculoFoda-1'!I90=1)),CalculosFoda!AF90,"")</f>
        <v/>
      </c>
      <c r="E35" s="37" t="str">
        <f>IF(AND(OR('CalculoFoda-1'!H23=1,'CalculoFoda-1'!I23=1),OR('CalculoFoda-1'!F90=1,'CalculoFoda-1'!G90=1)),CalculosFoda!AF90,"")</f>
        <v/>
      </c>
      <c r="F35" s="37" t="str">
        <f>IF(AND(OR('CalculoFoda-1'!F23=1,'CalculoFoda-1'!G23=1),OR('CalculoFoda-1'!H90=1,'CalculoFoda-1'!I90=1)),CalculosFoda!AF90,"")</f>
        <v/>
      </c>
      <c r="G35" s="37" t="str">
        <f>IF(AND(OR('CalculoFoda-1'!F23=1,'CalculoFoda-1'!G23=1),OR('CalculoFoda-1'!F90=1,'CalculoFoda-1'!G90=1)),CalculosFoda!AF90,"")</f>
        <v>Trámites y aduana</v>
      </c>
      <c r="H35" s="37" t="str">
        <f>IF(OR(NOT(OR('CalculoFoda-1'!F23=1,'CalculoFoda-1'!G23=1,'CalculoFoda-1'!H23=1,'CalculoFoda-1'!I23=1)),NOT(OR('CalculoFoda-1'!F90=1,'CalculoFoda-1'!G90=1,'CalculoFoda-1'!H90=1,'CalculoFoda-1'!I90=1))),"sin dato: "&amp;CalculosFoda!AF90,"")</f>
        <v/>
      </c>
    </row>
    <row r="36" spans="2:8" x14ac:dyDescent="0.25">
      <c r="D36" s="37" t="str">
        <f>IF(AND(OR('CalculoFoda-1'!H23=1,'CalculoFoda-1'!I23=1),OR('CalculoFoda-1'!H122=1,'CalculoFoda-1'!I122=1)),CalculosFoda!AF122,"")</f>
        <v/>
      </c>
      <c r="E36" s="37" t="str">
        <f>IF(AND(OR('CalculoFoda-1'!H23=1,'CalculoFoda-1'!I23=1),OR('CalculoFoda-1'!F122=1,'CalculoFoda-1'!G122=1)),CalculosFoda!AF122,"")</f>
        <v/>
      </c>
      <c r="F36" s="37" t="str">
        <f>IF(AND(OR('CalculoFoda-1'!F23=1,'CalculoFoda-1'!G23=1),OR('CalculoFoda-1'!H122=1,'CalculoFoda-1'!I122=1)),CalculosFoda!AF122,"")</f>
        <v/>
      </c>
      <c r="G36" s="37" t="str">
        <f>IF(AND(OR('CalculoFoda-1'!F23=1,'CalculoFoda-1'!G23=1),OR('CalculoFoda-1'!F122=1,'CalculoFoda-1'!G122=1)),CalculosFoda!AF122,"")</f>
        <v>Servicios aduaneros locales</v>
      </c>
      <c r="H36" s="37" t="str">
        <f>IF(OR(NOT(OR('CalculoFoda-1'!F23=1,'CalculoFoda-1'!G23=1,'CalculoFoda-1'!H23=1,'CalculoFoda-1'!I23=1)),NOT(OR('CalculoFoda-1'!F122=1,'CalculoFoda-1'!G122=1,'CalculoFoda-1'!H122=1,'CalculoFoda-1'!I122=1))),"sin dato: "&amp;CalculosFoda!AF122,"")</f>
        <v/>
      </c>
    </row>
    <row r="37" spans="2:8" x14ac:dyDescent="0.25">
      <c r="D37" s="37" t="str">
        <f>IF(AND(OR('CalculoFoda-1'!H23=1,'CalculoFoda-1'!I23=1),OR('CalculoFoda-1'!H114=1,'CalculoFoda-1'!I114=1)),CalculosFoda!AF114,"")</f>
        <v/>
      </c>
      <c r="E37" s="37" t="str">
        <f>IF(AND(OR('CalculoFoda-1'!H23=1,'CalculoFoda-1'!I23=1),OR('CalculoFoda-1'!F114=1,'CalculoFoda-1'!G114=1)),CalculosFoda!AF114,"")</f>
        <v/>
      </c>
      <c r="F37" s="37" t="str">
        <f>IF(AND(OR('CalculoFoda-1'!F23=1,'CalculoFoda-1'!G23=1),OR('CalculoFoda-1'!H114=1,'CalculoFoda-1'!I114=1)),CalculosFoda!AF114,"")</f>
        <v/>
      </c>
      <c r="G37" s="37" t="str">
        <f>IF(AND(OR('CalculoFoda-1'!F23=1,'CalculoFoda-1'!G23=1),OR('CalculoFoda-1'!F114=1,'CalculoFoda-1'!G114=1)),CalculosFoda!AF114,"")</f>
        <v>Digitalización del comercio exterior</v>
      </c>
      <c r="H37" s="37" t="str">
        <f>IF(OR(NOT(OR('CalculoFoda-1'!F23=1,'CalculoFoda-1'!G23=1,'CalculoFoda-1'!H23=1,'CalculoFoda-1'!I23=1)),NOT(OR('CalculoFoda-1'!F114=1,'CalculoFoda-1'!G114=1,'CalculoFoda-1'!H114=1,'CalculoFoda-1'!I114=1))),"sin dato: "&amp;CalculosFoda!AF114,"")</f>
        <v/>
      </c>
    </row>
    <row r="39" spans="2:8" x14ac:dyDescent="0.25">
      <c r="B39" s="40" t="str">
        <f>+FormularioFODA!B28</f>
        <v>Relación con Clientes</v>
      </c>
      <c r="C39" s="12" t="str">
        <f>+CalculosFoda!AF26</f>
        <v>Atención y postventa internacional</v>
      </c>
      <c r="H39" s="41" t="s">
        <v>756</v>
      </c>
    </row>
    <row r="40" spans="2:8" x14ac:dyDescent="0.25">
      <c r="C40" s="12" t="str">
        <f>+CalculosFoda!AF27</f>
        <v>Comunicación en idioma extranjero</v>
      </c>
      <c r="D40" s="37" t="str">
        <f>IF(AND(OR('CalculoFoda-1'!H27=1,'CalculoFoda-1'!I27=1),OR('CalculoFoda-1'!H106=1,'CalculoFoda-1'!I106=1)),CalculosFoda!AF106,"")</f>
        <v/>
      </c>
      <c r="E40" s="37" t="str">
        <f>IF(AND(OR('CalculoFoda-1'!H27=1,'CalculoFoda-1'!I27=1),OR('CalculoFoda-1'!F106=1,'CalculoFoda-1'!G106=1)),CalculosFoda!AF106,"")</f>
        <v/>
      </c>
      <c r="F40" s="37" t="str">
        <f>IF(AND(OR('CalculoFoda-1'!F27=1,'CalculoFoda-1'!G27=1),OR('CalculoFoda-1'!H106=1,'CalculoFoda-1'!I106=1)),CalculosFoda!AF106,"")</f>
        <v>Idioma y cercanía cultural</v>
      </c>
      <c r="G40" s="37" t="str">
        <f>IF(AND(OR('CalculoFoda-1'!F27=1,'CalculoFoda-1'!G27=1),OR('CalculoFoda-1'!F106=1,'CalculoFoda-1'!G106=1)),CalculosFoda!AF106,"")</f>
        <v/>
      </c>
      <c r="H40" s="37" t="str">
        <f>IF(OR(NOT(OR('CalculoFoda-1'!F27=1,'CalculoFoda-1'!G27=1,'CalculoFoda-1'!H27=1,'CalculoFoda-1'!I27=1)),NOT(OR('CalculoFoda-1'!F106=1,'CalculoFoda-1'!G106=1,'CalculoFoda-1'!H106=1,'CalculoFoda-1'!I106=1))),"sin dato: "&amp;CalculosFoda!AF106,"")</f>
        <v/>
      </c>
    </row>
    <row r="41" spans="2:8" x14ac:dyDescent="0.25">
      <c r="C41" s="12" t="str">
        <f>+CalculosFoda!AF28</f>
        <v>Contratos y condiciones con compradores</v>
      </c>
      <c r="D41" s="37" t="str">
        <f>IF(AND(OR('CalculoFoda-1'!H28=1,'CalculoFoda-1'!I28=1),OR('CalculoFoda-1'!H92=1,'CalculoFoda-1'!I92=1)),CalculosFoda!AF92,"")</f>
        <v/>
      </c>
      <c r="E41" s="37" t="str">
        <f>IF(AND(OR('CalculoFoda-1'!H28=1,'CalculoFoda-1'!I28=1),OR('CalculoFoda-1'!F92=1,'CalculoFoda-1'!G92=1)),CalculosFoda!AF92,"")</f>
        <v/>
      </c>
      <c r="F41" s="37" t="str">
        <f>IF(AND(OR('CalculoFoda-1'!F28=1,'CalculoFoda-1'!G28=1),OR('CalculoFoda-1'!H92=1,'CalculoFoda-1'!I92=1)),CalculosFoda!AF92,"")</f>
        <v>Propiedad intelectual y seguridad jurídica</v>
      </c>
      <c r="G41" s="37" t="str">
        <f>IF(AND(OR('CalculoFoda-1'!F28=1,'CalculoFoda-1'!G28=1),OR('CalculoFoda-1'!F92=1,'CalculoFoda-1'!G92=1)),CalculosFoda!AF92,"")</f>
        <v/>
      </c>
      <c r="H41" s="37" t="str">
        <f>IF(OR(NOT(OR('CalculoFoda-1'!F28=1,'CalculoFoda-1'!G28=1,'CalculoFoda-1'!H28=1,'CalculoFoda-1'!I28=1)),NOT(OR('CalculoFoda-1'!F92=1,'CalculoFoda-1'!G92=1,'CalculoFoda-1'!H92=1,'CalculoFoda-1'!I92=1))),"sin dato: "&amp;CalculosFoda!AF92,"")</f>
        <v/>
      </c>
    </row>
    <row r="42" spans="2:8" x14ac:dyDescent="0.25">
      <c r="C42" s="12" t="str">
        <f>+CalculosFoda!AF29</f>
        <v>Fidelización y recompra</v>
      </c>
      <c r="D42" s="37" t="str">
        <f>IF(AND(OR('CalculoFoda-1'!H29=1,'CalculoFoda-1'!I29=1),OR('CalculoFoda-1'!H128=1,'CalculoFoda-1'!I128=1)),CalculosFoda!AF128,"")</f>
        <v/>
      </c>
      <c r="E42" s="37" t="str">
        <f>IF(AND(OR('CalculoFoda-1'!H29=1,'CalculoFoda-1'!I29=1),OR('CalculoFoda-1'!F128=1,'CalculoFoda-1'!G128=1)),CalculosFoda!AF128,"")</f>
        <v/>
      </c>
      <c r="F42" s="37" t="str">
        <f>IF(AND(OR('CalculoFoda-1'!F29=1,'CalculoFoda-1'!G29=1),OR('CalculoFoda-1'!H128=1,'CalculoFoda-1'!I128=1)),CalculosFoda!AF128,"")</f>
        <v/>
      </c>
      <c r="G42" s="37" t="str">
        <f>IF(AND(OR('CalculoFoda-1'!F29=1,'CalculoFoda-1'!G29=1),OR('CalculoFoda-1'!F128=1,'CalculoFoda-1'!G128=1)),CalculosFoda!AF128,"")</f>
        <v>Costos de cambio de los clientes externos</v>
      </c>
      <c r="H42" s="37" t="str">
        <f>IF(OR(NOT(OR('CalculoFoda-1'!F29=1,'CalculoFoda-1'!G29=1,'CalculoFoda-1'!H29=1,'CalculoFoda-1'!I29=1)),NOT(OR('CalculoFoda-1'!F128=1,'CalculoFoda-1'!G128=1,'CalculoFoda-1'!H128=1,'CalculoFoda-1'!I128=1))),"sin dato: "&amp;CalculosFoda!AF128,"")</f>
        <v/>
      </c>
    </row>
    <row r="43" spans="2:8" x14ac:dyDescent="0.25">
      <c r="C43" s="12" t="str">
        <f>+CalculosFoda!AF30</f>
        <v>Gestión de reclamos y devoluciones</v>
      </c>
      <c r="H43" s="41" t="s">
        <v>756</v>
      </c>
    </row>
    <row r="45" spans="2:8" x14ac:dyDescent="0.25">
      <c r="B45" s="40" t="str">
        <f>+FormularioFODA!B35</f>
        <v>Fuentes de Ingresos</v>
      </c>
      <c r="C45" s="12" t="str">
        <f>+CalculosFoda!AF33</f>
        <v>Evolución de ventas</v>
      </c>
      <c r="D45" s="37" t="str">
        <f>IF(AND(OR('CalculoFoda-1'!H33=1,'CalculoFoda-1'!I33=1),OR('CalculoFoda-1'!H95=1,'CalculoFoda-1'!I95=1)),CalculosFoda!AF95,"")</f>
        <v/>
      </c>
      <c r="E45" s="37" t="str">
        <f>IF(AND(OR('CalculoFoda-1'!H33=1,'CalculoFoda-1'!I33=1),OR('CalculoFoda-1'!F95=1,'CalculoFoda-1'!G95=1)),CalculosFoda!AF95,"")</f>
        <v>Crecimiento económico y ciclo</v>
      </c>
      <c r="F45" s="37" t="str">
        <f>IF(AND(OR('CalculoFoda-1'!F33=1,'CalculoFoda-1'!G33=1),OR('CalculoFoda-1'!H95=1,'CalculoFoda-1'!I95=1)),CalculosFoda!AF95,"")</f>
        <v/>
      </c>
      <c r="G45" s="37" t="str">
        <f>IF(AND(OR('CalculoFoda-1'!F33=1,'CalculoFoda-1'!G33=1),OR('CalculoFoda-1'!F95=1,'CalculoFoda-1'!G95=1)),CalculosFoda!AF95,"")</f>
        <v/>
      </c>
      <c r="H45" s="37" t="str">
        <f>IF(OR(NOT(OR('CalculoFoda-1'!F33=1,'CalculoFoda-1'!G33=1,'CalculoFoda-1'!H33=1,'CalculoFoda-1'!I33=1)),NOT(OR('CalculoFoda-1'!F95=1,'CalculoFoda-1'!G95=1,'CalculoFoda-1'!H95=1,'CalculoFoda-1'!I95=1))),"sin dato: "&amp;CalculosFoda!AF95,"")</f>
        <v/>
      </c>
    </row>
    <row r="46" spans="2:8" x14ac:dyDescent="0.25">
      <c r="D46" s="37" t="str">
        <f>IF(AND(OR('CalculoFoda-1'!H33=1,'CalculoFoda-1'!I33=1),OR('CalculoFoda-1'!H96=1,'CalculoFoda-1'!I96=1)),CalculosFoda!AF96,"")</f>
        <v/>
      </c>
      <c r="E46" s="37" t="str">
        <f>IF(AND(OR('CalculoFoda-1'!H33=1,'CalculoFoda-1'!I33=1),OR('CalculoFoda-1'!F96=1,'CalculoFoda-1'!G96=1)),CalculosFoda!AF96,"")</f>
        <v>Crecimiento sectorial del rubro</v>
      </c>
      <c r="F46" s="37" t="str">
        <f>IF(AND(OR('CalculoFoda-1'!F33=1,'CalculoFoda-1'!G33=1),OR('CalculoFoda-1'!H96=1,'CalculoFoda-1'!I96=1)),CalculosFoda!AF96,"")</f>
        <v/>
      </c>
      <c r="G46" s="37" t="str">
        <f>IF(AND(OR('CalculoFoda-1'!F33=1,'CalculoFoda-1'!G33=1),OR('CalculoFoda-1'!F96=1,'CalculoFoda-1'!G96=1)),CalculosFoda!AF96,"")</f>
        <v/>
      </c>
      <c r="H46" s="37" t="str">
        <f>IF(OR(NOT(OR('CalculoFoda-1'!F33=1,'CalculoFoda-1'!G33=1,'CalculoFoda-1'!H33=1,'CalculoFoda-1'!I33=1)),NOT(OR('CalculoFoda-1'!F96=1,'CalculoFoda-1'!G96=1,'CalculoFoda-1'!H96=1,'CalculoFoda-1'!I96=1))),"sin dato: "&amp;CalculosFoda!AF96,"")</f>
        <v/>
      </c>
    </row>
    <row r="47" spans="2:8" x14ac:dyDescent="0.25">
      <c r="C47" s="12" t="str">
        <f>+CalculosFoda!AF34</f>
        <v>Fijación de precio de exportación</v>
      </c>
      <c r="D47" s="37" t="str">
        <f>IF(AND(OR('CalculoFoda-1'!H34=1,'CalculoFoda-1'!I34=1),OR('CalculoFoda-1'!H97=1,'CalculoFoda-1'!I97=1)),CalculosFoda!AF97,"")</f>
        <v/>
      </c>
      <c r="E47" s="37" t="str">
        <f>IF(AND(OR('CalculoFoda-1'!H34=1,'CalculoFoda-1'!I34=1),OR('CalculoFoda-1'!F97=1,'CalculoFoda-1'!G97=1)),CalculosFoda!AF97,"")</f>
        <v>Tipo de cambio y competitividad</v>
      </c>
      <c r="F47" s="37" t="str">
        <f>IF(AND(OR('CalculoFoda-1'!F34=1,'CalculoFoda-1'!G34=1),OR('CalculoFoda-1'!H97=1,'CalculoFoda-1'!I97=1)),CalculosFoda!AF97,"")</f>
        <v/>
      </c>
      <c r="G47" s="37" t="str">
        <f>IF(AND(OR('CalculoFoda-1'!F34=1,'CalculoFoda-1'!G34=1),OR('CalculoFoda-1'!F97=1,'CalculoFoda-1'!G97=1)),CalculosFoda!AF97,"")</f>
        <v/>
      </c>
      <c r="H47" s="37" t="str">
        <f>IF(OR(NOT(OR('CalculoFoda-1'!F34=1,'CalculoFoda-1'!G34=1,'CalculoFoda-1'!H34=1,'CalculoFoda-1'!I34=1)),NOT(OR('CalculoFoda-1'!F97=1,'CalculoFoda-1'!G97=1,'CalculoFoda-1'!H97=1,'CalculoFoda-1'!I97=1))),"sin dato: "&amp;CalculosFoda!AF97,"")</f>
        <v/>
      </c>
    </row>
    <row r="48" spans="2:8" x14ac:dyDescent="0.25">
      <c r="D48" s="37" t="str">
        <f>IF(AND(OR('CalculoFoda-1'!H34=1,'CalculoFoda-1'!I34=1),OR('CalculoFoda-1'!H102=1,'CalculoFoda-1'!I102=1)),CalculosFoda!AF102,"")</f>
        <v>Precios internacionales del producto</v>
      </c>
      <c r="E48" s="37" t="str">
        <f>IF(AND(OR('CalculoFoda-1'!H34=1,'CalculoFoda-1'!I34=1),OR('CalculoFoda-1'!F102=1,'CalculoFoda-1'!G102=1)),CalculosFoda!AF102,"")</f>
        <v/>
      </c>
      <c r="F48" s="37" t="str">
        <f>IF(AND(OR('CalculoFoda-1'!F34=1,'CalculoFoda-1'!G34=1),OR('CalculoFoda-1'!H102=1,'CalculoFoda-1'!I102=1)),CalculosFoda!AF102,"")</f>
        <v/>
      </c>
      <c r="G48" s="37" t="str">
        <f>IF(AND(OR('CalculoFoda-1'!F34=1,'CalculoFoda-1'!G34=1),OR('CalculoFoda-1'!F102=1,'CalculoFoda-1'!G102=1)),CalculosFoda!AF102,"")</f>
        <v/>
      </c>
      <c r="H48" s="37" t="str">
        <f>IF(OR(NOT(OR('CalculoFoda-1'!F34=1,'CalculoFoda-1'!G34=1,'CalculoFoda-1'!H34=1,'CalculoFoda-1'!I34=1)),NOT(OR('CalculoFoda-1'!F102=1,'CalculoFoda-1'!G102=1,'CalculoFoda-1'!H102=1,'CalculoFoda-1'!I102=1))),"sin dato: "&amp;CalculosFoda!AF102,"")</f>
        <v/>
      </c>
    </row>
    <row r="49" spans="2:8" x14ac:dyDescent="0.25">
      <c r="C49" s="12" t="str">
        <f>+CalculosFoda!AF35</f>
        <v>Margen del producto exportable</v>
      </c>
      <c r="D49" s="37" t="str">
        <f>IF(AND(OR('CalculoFoda-1'!H35=1,'CalculoFoda-1'!I35=1),OR('CalculoFoda-1'!H101=1,'CalculoFoda-1'!I101=1)),CalculosFoda!AF101,"")</f>
        <v/>
      </c>
      <c r="E49" s="37" t="str">
        <f>IF(AND(OR('CalculoFoda-1'!H35=1,'CalculoFoda-1'!I35=1),OR('CalculoFoda-1'!F101=1,'CalculoFoda-1'!G101=1)),CalculosFoda!AF101,"")</f>
        <v/>
      </c>
      <c r="F49" s="37" t="str">
        <f>IF(AND(OR('CalculoFoda-1'!F35=1,'CalculoFoda-1'!G35=1),OR('CalculoFoda-1'!H101=1,'CalculoFoda-1'!I101=1)),CalculosFoda!AF101,"")</f>
        <v/>
      </c>
      <c r="G49" s="37" t="str">
        <f>IF(AND(OR('CalculoFoda-1'!F35=1,'CalculoFoda-1'!G35=1),OR('CalculoFoda-1'!F101=1,'CalculoFoda-1'!G101=1)),CalculosFoda!AF101,"")</f>
        <v/>
      </c>
      <c r="H49" s="37" t="str">
        <f>IF(OR(NOT(OR('CalculoFoda-1'!F35=1,'CalculoFoda-1'!G35=1,'CalculoFoda-1'!H35=1,'CalculoFoda-1'!I35=1)),NOT(OR('CalculoFoda-1'!F101=1,'CalculoFoda-1'!G101=1,'CalculoFoda-1'!H101=1,'CalculoFoda-1'!I101=1))),"sin dato: "&amp;CalculosFoda!AF101,"")</f>
        <v>sin dato: Impuestos, derechos de exportación y reintegros</v>
      </c>
    </row>
    <row r="50" spans="2:8" x14ac:dyDescent="0.25">
      <c r="D50" s="37" t="str">
        <f>IF(AND(OR('CalculoFoda-1'!H35=1,'CalculoFoda-1'!I35=1),OR('CalculoFoda-1'!H98=1,'CalculoFoda-1'!I98=1)),CalculosFoda!AF98,"")</f>
        <v/>
      </c>
      <c r="E50" s="37" t="str">
        <f>IF(AND(OR('CalculoFoda-1'!H35=1,'CalculoFoda-1'!I35=1),OR('CalculoFoda-1'!F98=1,'CalculoFoda-1'!G98=1)),CalculosFoda!AF98,"")</f>
        <v/>
      </c>
      <c r="F50" s="37" t="str">
        <f>IF(AND(OR('CalculoFoda-1'!F35=1,'CalculoFoda-1'!G35=1),OR('CalculoFoda-1'!H98=1,'CalculoFoda-1'!I98=1)),CalculosFoda!AF98,"")</f>
        <v/>
      </c>
      <c r="G50" s="37" t="str">
        <f>IF(AND(OR('CalculoFoda-1'!F35=1,'CalculoFoda-1'!G35=1),OR('CalculoFoda-1'!F98=1,'CalculoFoda-1'!G98=1)),CalculosFoda!AF98,"")</f>
        <v/>
      </c>
      <c r="H50" s="37" t="str">
        <f>IF(OR(NOT(OR('CalculoFoda-1'!F35=1,'CalculoFoda-1'!G35=1,'CalculoFoda-1'!H35=1,'CalculoFoda-1'!I35=1)),NOT(OR('CalculoFoda-1'!F98=1,'CalculoFoda-1'!G98=1,'CalculoFoda-1'!H98=1,'CalculoFoda-1'!I98=1))),"sin dato: "&amp;CalculosFoda!AF98,"")</f>
        <v>sin dato: Inflación y costos internos</v>
      </c>
    </row>
    <row r="51" spans="2:8" x14ac:dyDescent="0.25">
      <c r="C51" s="12" t="str">
        <f>+CalculosFoda!AF36</f>
        <v>Medios y condiciones de cobro</v>
      </c>
      <c r="D51" s="37" t="str">
        <f>IF(AND(OR('CalculoFoda-1'!H36=1,'CalculoFoda-1'!I36=1),OR('CalculoFoda-1'!H100=1,'CalculoFoda-1'!I100=1)),CalculosFoda!AF100,"")</f>
        <v/>
      </c>
      <c r="E51" s="37" t="str">
        <f>IF(AND(OR('CalculoFoda-1'!H36=1,'CalculoFoda-1'!I36=1),OR('CalculoFoda-1'!F100=1,'CalculoFoda-1'!G100=1)),CalculosFoda!AF100,"")</f>
        <v>Cobros y acceso a divisas</v>
      </c>
      <c r="F51" s="37" t="str">
        <f>IF(AND(OR('CalculoFoda-1'!F36=1,'CalculoFoda-1'!G36=1),OR('CalculoFoda-1'!H100=1,'CalculoFoda-1'!I100=1)),CalculosFoda!AF100,"")</f>
        <v/>
      </c>
      <c r="G51" s="37" t="str">
        <f>IF(AND(OR('CalculoFoda-1'!F36=1,'CalculoFoda-1'!G36=1),OR('CalculoFoda-1'!F100=1,'CalculoFoda-1'!G100=1)),CalculosFoda!AF100,"")</f>
        <v/>
      </c>
      <c r="H51" s="37" t="str">
        <f>IF(OR(NOT(OR('CalculoFoda-1'!F36=1,'CalculoFoda-1'!G36=1,'CalculoFoda-1'!H36=1,'CalculoFoda-1'!I36=1)),NOT(OR('CalculoFoda-1'!F100=1,'CalculoFoda-1'!G100=1,'CalculoFoda-1'!H100=1,'CalculoFoda-1'!I100=1))),"sin dato: "&amp;CalculosFoda!AF100,"")</f>
        <v/>
      </c>
    </row>
    <row r="52" spans="2:8" x14ac:dyDescent="0.25">
      <c r="C52" s="12" t="str">
        <f>+CalculosFoda!AF37</f>
        <v>Diversificación de ingresos</v>
      </c>
      <c r="D52" s="37" t="str">
        <f>IF(AND(OR('CalculoFoda-1'!H37=1,'CalculoFoda-1'!I37=1),OR('CalculoFoda-1'!H130=1,'CalculoFoda-1'!I130=1)),CalculosFoda!AF130,"")</f>
        <v>Poder negociador de compradores e importadores</v>
      </c>
      <c r="E52" s="37" t="str">
        <f>IF(AND(OR('CalculoFoda-1'!H37=1,'CalculoFoda-1'!I37=1),OR('CalculoFoda-1'!F130=1,'CalculoFoda-1'!G130=1)),CalculosFoda!AF130,"")</f>
        <v/>
      </c>
      <c r="F52" s="37" t="str">
        <f>IF(AND(OR('CalculoFoda-1'!F37=1,'CalculoFoda-1'!G37=1),OR('CalculoFoda-1'!H130=1,'CalculoFoda-1'!I130=1)),CalculosFoda!AF130,"")</f>
        <v/>
      </c>
      <c r="G52" s="37" t="str">
        <f>IF(AND(OR('CalculoFoda-1'!F37=1,'CalculoFoda-1'!G37=1),OR('CalculoFoda-1'!F130=1,'CalculoFoda-1'!G130=1)),CalculosFoda!AF130,"")</f>
        <v/>
      </c>
      <c r="H52" s="37" t="str">
        <f>IF(OR(NOT(OR('CalculoFoda-1'!F37=1,'CalculoFoda-1'!G37=1,'CalculoFoda-1'!H37=1,'CalculoFoda-1'!I37=1)),NOT(OR('CalculoFoda-1'!F130=1,'CalculoFoda-1'!G130=1,'CalculoFoda-1'!H130=1,'CalculoFoda-1'!I130=1))),"sin dato: "&amp;CalculosFoda!AF130,"")</f>
        <v/>
      </c>
    </row>
    <row r="53" spans="2:8" x14ac:dyDescent="0.25">
      <c r="C53" s="12" t="str">
        <f>+CalculosFoda!AF38</f>
        <v>Resistencia a variaciones cambiarias</v>
      </c>
      <c r="D53" s="37" t="str">
        <f>IF(AND(OR('CalculoFoda-1'!H38=1,'CalculoFoda-1'!I38=1),OR('CalculoFoda-1'!H97=1,'CalculoFoda-1'!I97=1)),CalculosFoda!AF97,"")</f>
        <v/>
      </c>
      <c r="E53" s="37" t="str">
        <f>IF(AND(OR('CalculoFoda-1'!H38=1,'CalculoFoda-1'!I38=1),OR('CalculoFoda-1'!F97=1,'CalculoFoda-1'!G97=1)),CalculosFoda!AF97,"")</f>
        <v/>
      </c>
      <c r="F53" s="37" t="str">
        <f>IF(AND(OR('CalculoFoda-1'!F38=1,'CalculoFoda-1'!G38=1),OR('CalculoFoda-1'!H97=1,'CalculoFoda-1'!I97=1)),CalculosFoda!AF97,"")</f>
        <v/>
      </c>
      <c r="G53" s="37" t="str">
        <f>IF(AND(OR('CalculoFoda-1'!F38=1,'CalculoFoda-1'!G38=1),OR('CalculoFoda-1'!F97=1,'CalculoFoda-1'!G97=1)),CalculosFoda!AF97,"")</f>
        <v>Tipo de cambio y competitividad</v>
      </c>
      <c r="H53" s="37" t="str">
        <f>IF(OR(NOT(OR('CalculoFoda-1'!F38=1,'CalculoFoda-1'!G38=1,'CalculoFoda-1'!H38=1,'CalculoFoda-1'!I38=1)),NOT(OR('CalculoFoda-1'!F97=1,'CalculoFoda-1'!G97=1,'CalculoFoda-1'!H97=1,'CalculoFoda-1'!I97=1))),"sin dato: "&amp;CalculosFoda!AF97,"")</f>
        <v/>
      </c>
    </row>
    <row r="55" spans="2:8" x14ac:dyDescent="0.25">
      <c r="B55" s="40" t="str">
        <f>+FormularioFODA!B44</f>
        <v>Recursos Clave</v>
      </c>
      <c r="C55" s="12" t="str">
        <f>+CalculosFoda!AF41</f>
        <v>Capacidad instalada y ociosa</v>
      </c>
      <c r="D55" s="37" t="str">
        <f>IF(AND(OR('CalculoFoda-1'!H41=1,'CalculoFoda-1'!I41=1),OR('CalculoFoda-1'!H129=1,'CalculoFoda-1'!I129=1)),CalculosFoda!AF129,"")</f>
        <v/>
      </c>
      <c r="E55" s="37" t="str">
        <f>IF(AND(OR('CalculoFoda-1'!H41=1,'CalculoFoda-1'!I41=1),OR('CalculoFoda-1'!F129=1,'CalculoFoda-1'!G129=1)),CalculosFoda!AF129,"")</f>
        <v>Tamaño y crecimiento del mercado destino</v>
      </c>
      <c r="F55" s="37" t="str">
        <f>IF(AND(OR('CalculoFoda-1'!F41=1,'CalculoFoda-1'!G41=1),OR('CalculoFoda-1'!H129=1,'CalculoFoda-1'!I129=1)),CalculosFoda!AF129,"")</f>
        <v/>
      </c>
      <c r="G55" s="37" t="str">
        <f>IF(AND(OR('CalculoFoda-1'!F41=1,'CalculoFoda-1'!G41=1),OR('CalculoFoda-1'!F129=1,'CalculoFoda-1'!G129=1)),CalculosFoda!AF129,"")</f>
        <v/>
      </c>
      <c r="H55" s="37" t="str">
        <f>IF(OR(NOT(OR('CalculoFoda-1'!F41=1,'CalculoFoda-1'!G41=1,'CalculoFoda-1'!H41=1,'CalculoFoda-1'!I41=1)),NOT(OR('CalculoFoda-1'!F129=1,'CalculoFoda-1'!G129=1,'CalculoFoda-1'!H129=1,'CalculoFoda-1'!I129=1))),"sin dato: "&amp;CalculosFoda!AF129,"")</f>
        <v/>
      </c>
    </row>
    <row r="56" spans="2:8" x14ac:dyDescent="0.25">
      <c r="C56" s="12" t="str">
        <f>+CalculosFoda!AF42</f>
        <v>Estado y tecnología de la maquinaria</v>
      </c>
      <c r="D56" s="37" t="str">
        <f>IF(AND(OR('CalculoFoda-1'!H42=1,'CalculoFoda-1'!I42=1),OR('CalculoFoda-1'!H112=1,'CalculoFoda-1'!I112=1)),CalculosFoda!AF112,"")</f>
        <v/>
      </c>
      <c r="E56" s="37" t="str">
        <f>IF(AND(OR('CalculoFoda-1'!H42=1,'CalculoFoda-1'!I42=1),OR('CalculoFoda-1'!F112=1,'CalculoFoda-1'!G112=1)),CalculosFoda!AF112,"")</f>
        <v>Avances tecnológicos del sector</v>
      </c>
      <c r="F56" s="37" t="str">
        <f>IF(AND(OR('CalculoFoda-1'!F42=1,'CalculoFoda-1'!G42=1),OR('CalculoFoda-1'!H112=1,'CalculoFoda-1'!I112=1)),CalculosFoda!AF112,"")</f>
        <v/>
      </c>
      <c r="G56" s="37" t="str">
        <f>IF(AND(OR('CalculoFoda-1'!F42=1,'CalculoFoda-1'!G42=1),OR('CalculoFoda-1'!F112=1,'CalculoFoda-1'!G112=1)),CalculosFoda!AF112,"")</f>
        <v/>
      </c>
      <c r="H56" s="37" t="str">
        <f>IF(OR(NOT(OR('CalculoFoda-1'!F42=1,'CalculoFoda-1'!G42=1,'CalculoFoda-1'!H42=1,'CalculoFoda-1'!I42=1)),NOT(OR('CalculoFoda-1'!F112=1,'CalculoFoda-1'!G112=1,'CalculoFoda-1'!H112=1,'CalculoFoda-1'!I112=1))),"sin dato: "&amp;CalculosFoda!AF112,"")</f>
        <v/>
      </c>
    </row>
    <row r="57" spans="2:8" x14ac:dyDescent="0.25">
      <c r="D57" s="37" t="str">
        <f>IF(AND(OR('CalculoFoda-1'!H42=1,'CalculoFoda-1'!I42=1),OR('CalculoFoda-1'!H99=1,'CalculoFoda-1'!I99=1)),CalculosFoda!AF99,"")</f>
        <v/>
      </c>
      <c r="E57" s="37" t="str">
        <f>IF(AND(OR('CalculoFoda-1'!H42=1,'CalculoFoda-1'!I42=1),OR('CalculoFoda-1'!F99=1,'CalculoFoda-1'!G99=1)),CalculosFoda!AF99,"")</f>
        <v>Financiamiento y crédito para exportar</v>
      </c>
      <c r="F57" s="37" t="str">
        <f>IF(AND(OR('CalculoFoda-1'!F42=1,'CalculoFoda-1'!G42=1),OR('CalculoFoda-1'!H99=1,'CalculoFoda-1'!I99=1)),CalculosFoda!AF99,"")</f>
        <v/>
      </c>
      <c r="G57" s="37" t="str">
        <f>IF(AND(OR('CalculoFoda-1'!F42=1,'CalculoFoda-1'!G42=1),OR('CalculoFoda-1'!F99=1,'CalculoFoda-1'!G99=1)),CalculosFoda!AF99,"")</f>
        <v/>
      </c>
      <c r="H57" s="37" t="str">
        <f>IF(OR(NOT(OR('CalculoFoda-1'!F42=1,'CalculoFoda-1'!G42=1,'CalculoFoda-1'!H42=1,'CalculoFoda-1'!I42=1)),NOT(OR('CalculoFoda-1'!F99=1,'CalculoFoda-1'!G99=1,'CalculoFoda-1'!H99=1,'CalculoFoda-1'!I99=1))),"sin dato: "&amp;CalculosFoda!AF99,"")</f>
        <v/>
      </c>
    </row>
    <row r="58" spans="2:8" x14ac:dyDescent="0.25">
      <c r="C58" s="12" t="str">
        <f>+CalculosFoda!AF43</f>
        <v>Personal calificado</v>
      </c>
      <c r="D58" s="37" t="str">
        <f>IF(AND(OR('CalculoFoda-1'!H43=1,'CalculoFoda-1'!I43=1),OR('CalculoFoda-1'!H108=1,'CalculoFoda-1'!I108=1)),CalculosFoda!AF108,"")</f>
        <v>Formación técnica y mano de obra regional</v>
      </c>
      <c r="E58" s="37" t="str">
        <f>IF(AND(OR('CalculoFoda-1'!H43=1,'CalculoFoda-1'!I43=1),OR('CalculoFoda-1'!F108=1,'CalculoFoda-1'!G108=1)),CalculosFoda!AF108,"")</f>
        <v/>
      </c>
      <c r="F58" s="37" t="str">
        <f>IF(AND(OR('CalculoFoda-1'!F43=1,'CalculoFoda-1'!G43=1),OR('CalculoFoda-1'!H108=1,'CalculoFoda-1'!I108=1)),CalculosFoda!AF108,"")</f>
        <v/>
      </c>
      <c r="G58" s="37" t="str">
        <f>IF(AND(OR('CalculoFoda-1'!F43=1,'CalculoFoda-1'!G43=1),OR('CalculoFoda-1'!F108=1,'CalculoFoda-1'!G108=1)),CalculosFoda!AF108,"")</f>
        <v/>
      </c>
      <c r="H58" s="37" t="str">
        <f>IF(OR(NOT(OR('CalculoFoda-1'!F43=1,'CalculoFoda-1'!G43=1,'CalculoFoda-1'!H43=1,'CalculoFoda-1'!I43=1)),NOT(OR('CalculoFoda-1'!F108=1,'CalculoFoda-1'!G108=1,'CalculoFoda-1'!H108=1,'CalculoFoda-1'!I108=1))),"sin dato: "&amp;CalculosFoda!AF108,"")</f>
        <v/>
      </c>
    </row>
    <row r="59" spans="2:8" x14ac:dyDescent="0.25">
      <c r="C59" s="12" t="str">
        <f>+CalculosFoda!AF44</f>
        <v>Formación continua y capacitación en comercio exterior</v>
      </c>
      <c r="D59" s="37" t="str">
        <f>IF(AND(OR('CalculoFoda-1'!H44=1,'CalculoFoda-1'!I44=1),OR('CalculoFoda-1'!H108=1,'CalculoFoda-1'!I108=1)),CalculosFoda!AF108,"")</f>
        <v/>
      </c>
      <c r="E59" s="37" t="str">
        <f>IF(AND(OR('CalculoFoda-1'!H44=1,'CalculoFoda-1'!I44=1),OR('CalculoFoda-1'!F108=1,'CalculoFoda-1'!G108=1)),CalculosFoda!AF108,"")</f>
        <v/>
      </c>
      <c r="F59" s="37" t="str">
        <f>IF(AND(OR('CalculoFoda-1'!F44=1,'CalculoFoda-1'!G44=1),OR('CalculoFoda-1'!H108=1,'CalculoFoda-1'!I108=1)),CalculosFoda!AF108,"")</f>
        <v>Formación técnica y mano de obra regional</v>
      </c>
      <c r="G59" s="37" t="str">
        <f>IF(AND(OR('CalculoFoda-1'!F44=1,'CalculoFoda-1'!G44=1),OR('CalculoFoda-1'!F108=1,'CalculoFoda-1'!G108=1)),CalculosFoda!AF108,"")</f>
        <v/>
      </c>
      <c r="H59" s="37" t="str">
        <f>IF(OR(NOT(OR('CalculoFoda-1'!F44=1,'CalculoFoda-1'!G44=1,'CalculoFoda-1'!H44=1,'CalculoFoda-1'!I44=1)),NOT(OR('CalculoFoda-1'!F108=1,'CalculoFoda-1'!G108=1,'CalculoFoda-1'!H108=1,'CalculoFoda-1'!I108=1))),"sin dato: "&amp;CalculosFoda!AF108,"")</f>
        <v/>
      </c>
    </row>
    <row r="60" spans="2:8" x14ac:dyDescent="0.25">
      <c r="D60" s="37" t="str">
        <f>IF(AND(OR('CalculoFoda-1'!H44=1,'CalculoFoda-1'!I44=1),OR('CalculoFoda-1'!H91=1,'CalculoFoda-1'!I91=1)),CalculosFoda!AF91,"")</f>
        <v/>
      </c>
      <c r="E60" s="37" t="str">
        <f>IF(AND(OR('CalculoFoda-1'!H44=1,'CalculoFoda-1'!I44=1),OR('CalculoFoda-1'!F91=1,'CalculoFoda-1'!G91=1)),CalculosFoda!AF91,"")</f>
        <v/>
      </c>
      <c r="F60" s="37" t="str">
        <f>IF(AND(OR('CalculoFoda-1'!F44=1,'CalculoFoda-1'!G44=1),OR('CalculoFoda-1'!H91=1,'CalculoFoda-1'!I91=1)),CalculosFoda!AF91,"")</f>
        <v/>
      </c>
      <c r="G60" s="37" t="str">
        <f>IF(AND(OR('CalculoFoda-1'!F44=1,'CalculoFoda-1'!G44=1),OR('CalculoFoda-1'!F91=1,'CalculoFoda-1'!G91=1)),CalculosFoda!AF91,"")</f>
        <v>Promoción y fomento a exportadores</v>
      </c>
      <c r="H60" s="37" t="str">
        <f>IF(OR(NOT(OR('CalculoFoda-1'!F44=1,'CalculoFoda-1'!G44=1,'CalculoFoda-1'!H44=1,'CalculoFoda-1'!I44=1)),NOT(OR('CalculoFoda-1'!F91=1,'CalculoFoda-1'!G91=1,'CalculoFoda-1'!H91=1,'CalculoFoda-1'!I91=1))),"sin dato: "&amp;CalculosFoda!AF91,"")</f>
        <v/>
      </c>
    </row>
    <row r="61" spans="2:8" x14ac:dyDescent="0.25">
      <c r="C61" s="12" t="str">
        <f>+CalculosFoda!AF45</f>
        <v>Capital de trabajo y capacidad financiera</v>
      </c>
      <c r="D61" s="37" t="str">
        <f>IF(AND(OR('CalculoFoda-1'!H45=1,'CalculoFoda-1'!I45=1),OR('CalculoFoda-1'!H99=1,'CalculoFoda-1'!I99=1)),CalculosFoda!AF99,"")</f>
        <v/>
      </c>
      <c r="E61" s="37" t="str">
        <f>IF(AND(OR('CalculoFoda-1'!H45=1,'CalculoFoda-1'!I45=1),OR('CalculoFoda-1'!F99=1,'CalculoFoda-1'!G99=1)),CalculosFoda!AF99,"")</f>
        <v/>
      </c>
      <c r="F61" s="37" t="str">
        <f>IF(AND(OR('CalculoFoda-1'!F45=1,'CalculoFoda-1'!G45=1),OR('CalculoFoda-1'!H99=1,'CalculoFoda-1'!I99=1)),CalculosFoda!AF99,"")</f>
        <v/>
      </c>
      <c r="G61" s="37" t="str">
        <f>IF(AND(OR('CalculoFoda-1'!F45=1,'CalculoFoda-1'!G45=1),OR('CalculoFoda-1'!F99=1,'CalculoFoda-1'!G99=1)),CalculosFoda!AF99,"")</f>
        <v>Financiamiento y crédito para exportar</v>
      </c>
      <c r="H61" s="37" t="str">
        <f>IF(OR(NOT(OR('CalculoFoda-1'!F45=1,'CalculoFoda-1'!G45=1,'CalculoFoda-1'!H45=1,'CalculoFoda-1'!I45=1)),NOT(OR('CalculoFoda-1'!F99=1,'CalculoFoda-1'!G99=1,'CalculoFoda-1'!H99=1,'CalculoFoda-1'!I99=1))),"sin dato: "&amp;CalculosFoda!AF99,"")</f>
        <v/>
      </c>
    </row>
    <row r="62" spans="2:8" x14ac:dyDescent="0.25">
      <c r="D62" s="37" t="str">
        <f>IF(AND(OR('CalculoFoda-1'!H45=1,'CalculoFoda-1'!I45=1),OR('CalculoFoda-1'!H100=1,'CalculoFoda-1'!I100=1)),CalculosFoda!AF100,"")</f>
        <v/>
      </c>
      <c r="E62" s="37" t="str">
        <f>IF(AND(OR('CalculoFoda-1'!H45=1,'CalculoFoda-1'!I45=1),OR('CalculoFoda-1'!F100=1,'CalculoFoda-1'!G100=1)),CalculosFoda!AF100,"")</f>
        <v/>
      </c>
      <c r="F62" s="37" t="str">
        <f>IF(AND(OR('CalculoFoda-1'!F45=1,'CalculoFoda-1'!G45=1),OR('CalculoFoda-1'!H100=1,'CalculoFoda-1'!I100=1)),CalculosFoda!AF100,"")</f>
        <v/>
      </c>
      <c r="G62" s="37" t="str">
        <f>IF(AND(OR('CalculoFoda-1'!F45=1,'CalculoFoda-1'!G45=1),OR('CalculoFoda-1'!F100=1,'CalculoFoda-1'!G100=1)),CalculosFoda!AF100,"")</f>
        <v>Cobros y acceso a divisas</v>
      </c>
      <c r="H62" s="37" t="str">
        <f>IF(OR(NOT(OR('CalculoFoda-1'!F45=1,'CalculoFoda-1'!G45=1,'CalculoFoda-1'!H45=1,'CalculoFoda-1'!I45=1)),NOT(OR('CalculoFoda-1'!F100=1,'CalculoFoda-1'!G100=1,'CalculoFoda-1'!H100=1,'CalculoFoda-1'!I100=1))),"sin dato: "&amp;CalculosFoda!AF100,"")</f>
        <v/>
      </c>
    </row>
    <row r="63" spans="2:8" x14ac:dyDescent="0.25">
      <c r="C63" s="12" t="str">
        <f>+CalculosFoda!AF46</f>
        <v>Sistemas de información y gestión</v>
      </c>
      <c r="D63" s="37" t="str">
        <f>IF(AND(OR('CalculoFoda-1'!H46=1,'CalculoFoda-1'!I46=1),OR('CalculoFoda-1'!H114=1,'CalculoFoda-1'!I114=1)),CalculosFoda!AF114,"")</f>
        <v/>
      </c>
      <c r="E63" s="37" t="str">
        <f>IF(AND(OR('CalculoFoda-1'!H46=1,'CalculoFoda-1'!I46=1),OR('CalculoFoda-1'!F114=1,'CalculoFoda-1'!G114=1)),CalculosFoda!AF114,"")</f>
        <v>Digitalización del comercio exterior</v>
      </c>
      <c r="F63" s="37" t="str">
        <f>IF(AND(OR('CalculoFoda-1'!F46=1,'CalculoFoda-1'!G46=1),OR('CalculoFoda-1'!H114=1,'CalculoFoda-1'!I114=1)),CalculosFoda!AF114,"")</f>
        <v/>
      </c>
      <c r="G63" s="37" t="str">
        <f>IF(AND(OR('CalculoFoda-1'!F46=1,'CalculoFoda-1'!G46=1),OR('CalculoFoda-1'!F114=1,'CalculoFoda-1'!G114=1)),CalculosFoda!AF114,"")</f>
        <v/>
      </c>
      <c r="H63" s="37" t="str">
        <f>IF(OR(NOT(OR('CalculoFoda-1'!F46=1,'CalculoFoda-1'!G46=1,'CalculoFoda-1'!H46=1,'CalculoFoda-1'!I46=1)),NOT(OR('CalculoFoda-1'!F114=1,'CalculoFoda-1'!G114=1,'CalculoFoda-1'!H114=1,'CalculoFoda-1'!I114=1))),"sin dato: "&amp;CalculosFoda!AF114,"")</f>
        <v/>
      </c>
    </row>
    <row r="64" spans="2:8" x14ac:dyDescent="0.25">
      <c r="D64" s="37" t="str">
        <f>IF(AND(OR('CalculoFoda-1'!H46=1,'CalculoFoda-1'!I46=1),OR('CalculoFoda-1'!H115=1,'CalculoFoda-1'!I115=1)),CalculosFoda!AF115,"")</f>
        <v/>
      </c>
      <c r="E64" s="37" t="str">
        <f>IF(AND(OR('CalculoFoda-1'!H46=1,'CalculoFoda-1'!I46=1),OR('CalculoFoda-1'!F115=1,'CalculoFoda-1'!G115=1)),CalculosFoda!AF115,"")</f>
        <v>Trazabilidad y certificación digital</v>
      </c>
      <c r="F64" s="37" t="str">
        <f>IF(AND(OR('CalculoFoda-1'!F46=1,'CalculoFoda-1'!G46=1),OR('CalculoFoda-1'!H115=1,'CalculoFoda-1'!I115=1)),CalculosFoda!AF115,"")</f>
        <v/>
      </c>
      <c r="G64" s="37" t="str">
        <f>IF(AND(OR('CalculoFoda-1'!F46=1,'CalculoFoda-1'!G46=1),OR('CalculoFoda-1'!F115=1,'CalculoFoda-1'!G115=1)),CalculosFoda!AF115,"")</f>
        <v/>
      </c>
      <c r="H64" s="37" t="str">
        <f>IF(OR(NOT(OR('CalculoFoda-1'!F46=1,'CalculoFoda-1'!G46=1,'CalculoFoda-1'!H46=1,'CalculoFoda-1'!I46=1)),NOT(OR('CalculoFoda-1'!F115=1,'CalculoFoda-1'!G115=1,'CalculoFoda-1'!H115=1,'CalculoFoda-1'!I115=1))),"sin dato: "&amp;CalculosFoda!AF115,"")</f>
        <v/>
      </c>
    </row>
    <row r="65" spans="2:8" x14ac:dyDescent="0.25">
      <c r="C65" s="12" t="str">
        <f>+CalculosFoda!AF47</f>
        <v>Infraestructura, depósitos y conservación</v>
      </c>
      <c r="D65" s="37" t="str">
        <f>IF(AND(OR('CalculoFoda-1'!H47=1,'CalculoFoda-1'!I47=1),OR('CalculoFoda-1'!H124=1,'CalculoFoda-1'!I124=1)),CalculosFoda!AF124,"")</f>
        <v/>
      </c>
      <c r="E65" s="37" t="str">
        <f>IF(AND(OR('CalculoFoda-1'!H47=1,'CalculoFoda-1'!I47=1),OR('CalculoFoda-1'!F124=1,'CalculoFoda-1'!G124=1)),CalculosFoda!AF124,"")</f>
        <v/>
      </c>
      <c r="F65" s="37" t="str">
        <f>IF(AND(OR('CalculoFoda-1'!F47=1,'CalculoFoda-1'!G47=1),OR('CalculoFoda-1'!H124=1,'CalculoFoda-1'!I124=1)),CalculosFoda!AF124,"")</f>
        <v/>
      </c>
      <c r="G65" s="37" t="str">
        <f>IF(AND(OR('CalculoFoda-1'!F47=1,'CalculoFoda-1'!G47=1),OR('CalculoFoda-1'!F124=1,'CalculoFoda-1'!G124=1)),CalculosFoda!AF124,"")</f>
        <v>Energía y servicios públicos industriales</v>
      </c>
      <c r="H65" s="37" t="str">
        <f>IF(OR(NOT(OR('CalculoFoda-1'!F47=1,'CalculoFoda-1'!G47=1,'CalculoFoda-1'!H47=1,'CalculoFoda-1'!I47=1)),NOT(OR('CalculoFoda-1'!F124=1,'CalculoFoda-1'!G124=1,'CalculoFoda-1'!H124=1,'CalculoFoda-1'!I124=1))),"sin dato: "&amp;CalculosFoda!AF124,"")</f>
        <v/>
      </c>
    </row>
    <row r="66" spans="2:8" x14ac:dyDescent="0.25">
      <c r="C66" s="12" t="str">
        <f>+CalculosFoda!AF48</f>
        <v>Habilitaciones y registros oficiales</v>
      </c>
      <c r="D66" s="37" t="str">
        <f>IF(AND(OR('CalculoFoda-1'!H48=1,'CalculoFoda-1'!I48=1),OR('CalculoFoda-1'!H146=1,'CalculoFoda-1'!I146=1)),CalculosFoda!AF146,"")</f>
        <v/>
      </c>
      <c r="E66" s="37" t="str">
        <f>IF(AND(OR('CalculoFoda-1'!H48=1,'CalculoFoda-1'!I48=1),OR('CalculoFoda-1'!F146=1,'CalculoFoda-1'!G146=1)),CalculosFoda!AF146,"")</f>
        <v>Requisitos sanitarios y fitosanitarios del destino</v>
      </c>
      <c r="F66" s="37" t="str">
        <f>IF(AND(OR('CalculoFoda-1'!F48=1,'CalculoFoda-1'!G48=1),OR('CalculoFoda-1'!H146=1,'CalculoFoda-1'!I146=1)),CalculosFoda!AF146,"")</f>
        <v/>
      </c>
      <c r="G66" s="37" t="str">
        <f>IF(AND(OR('CalculoFoda-1'!F48=1,'CalculoFoda-1'!G48=1),OR('CalculoFoda-1'!F146=1,'CalculoFoda-1'!G146=1)),CalculosFoda!AF146,"")</f>
        <v/>
      </c>
      <c r="H66" s="37" t="str">
        <f>IF(OR(NOT(OR('CalculoFoda-1'!F48=1,'CalculoFoda-1'!G48=1,'CalculoFoda-1'!H48=1,'CalculoFoda-1'!I48=1)),NOT(OR('CalculoFoda-1'!F146=1,'CalculoFoda-1'!G146=1,'CalculoFoda-1'!H146=1,'CalculoFoda-1'!I146=1))),"sin dato: "&amp;CalculosFoda!AF146,"")</f>
        <v/>
      </c>
    </row>
    <row r="67" spans="2:8" x14ac:dyDescent="0.25">
      <c r="D67" s="37" t="str">
        <f>IF(AND(OR('CalculoFoda-1'!H48=1,'CalculoFoda-1'!I48=1),OR('CalculoFoda-1'!H90=1,'CalculoFoda-1'!I90=1)),CalculosFoda!AF90,"")</f>
        <v/>
      </c>
      <c r="E67" s="37" t="str">
        <f>IF(AND(OR('CalculoFoda-1'!H48=1,'CalculoFoda-1'!I48=1),OR('CalculoFoda-1'!F90=1,'CalculoFoda-1'!G90=1)),CalculosFoda!AF90,"")</f>
        <v>Trámites y aduana</v>
      </c>
      <c r="F67" s="37" t="str">
        <f>IF(AND(OR('CalculoFoda-1'!F48=1,'CalculoFoda-1'!G48=1),OR('CalculoFoda-1'!H90=1,'CalculoFoda-1'!I90=1)),CalculosFoda!AF90,"")</f>
        <v/>
      </c>
      <c r="G67" s="37" t="str">
        <f>IF(AND(OR('CalculoFoda-1'!F48=1,'CalculoFoda-1'!G48=1),OR('CalculoFoda-1'!F90=1,'CalculoFoda-1'!G90=1)),CalculosFoda!AF90,"")</f>
        <v/>
      </c>
      <c r="H67" s="37" t="str">
        <f>IF(OR(NOT(OR('CalculoFoda-1'!F48=1,'CalculoFoda-1'!G48=1,'CalculoFoda-1'!H48=1,'CalculoFoda-1'!I48=1)),NOT(OR('CalculoFoda-1'!F90=1,'CalculoFoda-1'!G90=1,'CalculoFoda-1'!H90=1,'CalculoFoda-1'!I90=1))),"sin dato: "&amp;CalculosFoda!AF90,"")</f>
        <v/>
      </c>
    </row>
    <row r="69" spans="2:8" x14ac:dyDescent="0.25">
      <c r="B69" s="40" t="str">
        <f>+FormularioFODA!B54</f>
        <v>Actividades Clave</v>
      </c>
      <c r="C69" s="12" t="str">
        <f>+CalculosFoda!AF51</f>
        <v>Descripción técnica y estandarización</v>
      </c>
      <c r="H69" s="41" t="s">
        <v>756</v>
      </c>
    </row>
    <row r="70" spans="2:8" x14ac:dyDescent="0.25">
      <c r="C70" s="12" t="str">
        <f>+CalculosFoda!AF52</f>
        <v>Mantenimiento y continuidad operativa</v>
      </c>
      <c r="D70" s="37" t="str">
        <f>IF(AND(OR('CalculoFoda-1'!H52=1,'CalculoFoda-1'!I52=1),OR('CalculoFoda-1'!H124=1,'CalculoFoda-1'!I124=1)),CalculosFoda!AF124,"")</f>
        <v/>
      </c>
      <c r="E70" s="37" t="str">
        <f>IF(AND(OR('CalculoFoda-1'!H52=1,'CalculoFoda-1'!I52=1),OR('CalculoFoda-1'!F124=1,'CalculoFoda-1'!G124=1)),CalculosFoda!AF124,"")</f>
        <v>Energía y servicios públicos industriales</v>
      </c>
      <c r="F70" s="37" t="str">
        <f>IF(AND(OR('CalculoFoda-1'!F52=1,'CalculoFoda-1'!G52=1),OR('CalculoFoda-1'!H124=1,'CalculoFoda-1'!I124=1)),CalculosFoda!AF124,"")</f>
        <v/>
      </c>
      <c r="G70" s="37" t="str">
        <f>IF(AND(OR('CalculoFoda-1'!F52=1,'CalculoFoda-1'!G52=1),OR('CalculoFoda-1'!F124=1,'CalculoFoda-1'!G124=1)),CalculosFoda!AF124,"")</f>
        <v/>
      </c>
      <c r="H70" s="37" t="str">
        <f>IF(OR(NOT(OR('CalculoFoda-1'!F52=1,'CalculoFoda-1'!G52=1,'CalculoFoda-1'!H52=1,'CalculoFoda-1'!I52=1)),NOT(OR('CalculoFoda-1'!F124=1,'CalculoFoda-1'!G124=1,'CalculoFoda-1'!H124=1,'CalculoFoda-1'!I124=1))),"sin dato: "&amp;CalculosFoda!AF124,"")</f>
        <v/>
      </c>
    </row>
    <row r="71" spans="2:8" x14ac:dyDescent="0.25">
      <c r="D71" s="37" t="str">
        <f>IF(AND(OR('CalculoFoda-1'!H52=1,'CalculoFoda-1'!I52=1),OR('CalculoFoda-1'!H112=1,'CalculoFoda-1'!I112=1)),CalculosFoda!AF112,"")</f>
        <v/>
      </c>
      <c r="E71" s="37" t="str">
        <f>IF(AND(OR('CalculoFoda-1'!H52=1,'CalculoFoda-1'!I52=1),OR('CalculoFoda-1'!F112=1,'CalculoFoda-1'!G112=1)),CalculosFoda!AF112,"")</f>
        <v>Avances tecnológicos del sector</v>
      </c>
      <c r="F71" s="37" t="str">
        <f>IF(AND(OR('CalculoFoda-1'!F52=1,'CalculoFoda-1'!G52=1),OR('CalculoFoda-1'!H112=1,'CalculoFoda-1'!I112=1)),CalculosFoda!AF112,"")</f>
        <v/>
      </c>
      <c r="G71" s="37" t="str">
        <f>IF(AND(OR('CalculoFoda-1'!F52=1,'CalculoFoda-1'!G52=1),OR('CalculoFoda-1'!F112=1,'CalculoFoda-1'!G112=1)),CalculosFoda!AF112,"")</f>
        <v/>
      </c>
      <c r="H71" s="37" t="str">
        <f>IF(OR(NOT(OR('CalculoFoda-1'!F52=1,'CalculoFoda-1'!G52=1,'CalculoFoda-1'!H52=1,'CalculoFoda-1'!I52=1)),NOT(OR('CalculoFoda-1'!F112=1,'CalculoFoda-1'!G112=1,'CalculoFoda-1'!H112=1,'CalculoFoda-1'!I112=1))),"sin dato: "&amp;CalculosFoda!AF112,"")</f>
        <v/>
      </c>
    </row>
    <row r="72" spans="2:8" x14ac:dyDescent="0.25">
      <c r="C72" s="12" t="str">
        <f>+CalculosFoda!AF53</f>
        <v>Planificación de producción y abastecimiento</v>
      </c>
      <c r="D72" s="37" t="str">
        <f>IF(AND(OR('CalculoFoda-1'!H53=1,'CalculoFoda-1'!I53=1),OR('CalculoFoda-1'!H135=1,'CalculoFoda-1'!I135=1)),CalculosFoda!AF135,"")</f>
        <v>Cantidad de proveedores</v>
      </c>
      <c r="E72" s="37" t="str">
        <f>IF(AND(OR('CalculoFoda-1'!H53=1,'CalculoFoda-1'!I53=1),OR('CalculoFoda-1'!F135=1,'CalculoFoda-1'!G135=1)),CalculosFoda!AF135,"")</f>
        <v/>
      </c>
      <c r="F72" s="37" t="str">
        <f>IF(AND(OR('CalculoFoda-1'!F53=1,'CalculoFoda-1'!G53=1),OR('CalculoFoda-1'!H135=1,'CalculoFoda-1'!I135=1)),CalculosFoda!AF135,"")</f>
        <v/>
      </c>
      <c r="G72" s="37" t="str">
        <f>IF(AND(OR('CalculoFoda-1'!F53=1,'CalculoFoda-1'!G53=1),OR('CalculoFoda-1'!F135=1,'CalculoFoda-1'!G135=1)),CalculosFoda!AF135,"")</f>
        <v/>
      </c>
      <c r="H72" s="37" t="str">
        <f>IF(OR(NOT(OR('CalculoFoda-1'!F53=1,'CalculoFoda-1'!G53=1,'CalculoFoda-1'!H53=1,'CalculoFoda-1'!I53=1)),NOT(OR('CalculoFoda-1'!F135=1,'CalculoFoda-1'!G135=1,'CalculoFoda-1'!H135=1,'CalculoFoda-1'!I135=1))),"sin dato: "&amp;CalculosFoda!AF135,"")</f>
        <v/>
      </c>
    </row>
    <row r="73" spans="2:8" x14ac:dyDescent="0.25">
      <c r="D73" s="37" t="str">
        <f>IF(AND(OR('CalculoFoda-1'!H53=1,'CalculoFoda-1'!I53=1),OR('CalculoFoda-1'!H138=1,'CalculoFoda-1'!I138=1)),CalculosFoda!AF138,"")</f>
        <v>Disponibilidad y estacionalidad de materia prima</v>
      </c>
      <c r="E73" s="37" t="str">
        <f>IF(AND(OR('CalculoFoda-1'!H53=1,'CalculoFoda-1'!I53=1),OR('CalculoFoda-1'!F138=1,'CalculoFoda-1'!G138=1)),CalculosFoda!AF138,"")</f>
        <v/>
      </c>
      <c r="F73" s="37" t="str">
        <f>IF(AND(OR('CalculoFoda-1'!F53=1,'CalculoFoda-1'!G53=1),OR('CalculoFoda-1'!H138=1,'CalculoFoda-1'!I138=1)),CalculosFoda!AF138,"")</f>
        <v/>
      </c>
      <c r="G73" s="37" t="str">
        <f>IF(AND(OR('CalculoFoda-1'!F53=1,'CalculoFoda-1'!G53=1),OR('CalculoFoda-1'!F138=1,'CalculoFoda-1'!G138=1)),CalculosFoda!AF138,"")</f>
        <v/>
      </c>
      <c r="H73" s="37" t="str">
        <f>IF(OR(NOT(OR('CalculoFoda-1'!F53=1,'CalculoFoda-1'!G53=1,'CalculoFoda-1'!H53=1,'CalculoFoda-1'!I53=1)),NOT(OR('CalculoFoda-1'!F138=1,'CalculoFoda-1'!G138=1,'CalculoFoda-1'!H138=1,'CalculoFoda-1'!I138=1))),"sin dato: "&amp;CalculosFoda!AF138,"")</f>
        <v/>
      </c>
    </row>
    <row r="74" spans="2:8" x14ac:dyDescent="0.25">
      <c r="C74" s="12" t="str">
        <f>+CalculosFoda!AF54</f>
        <v>Gestión de calidad</v>
      </c>
      <c r="D74" s="37" t="str">
        <f>IF(AND(OR('CalculoFoda-1'!H54=1,'CalculoFoda-1'!I54=1),OR('CalculoFoda-1'!H147=1,'CalculoFoda-1'!I147=1)),CalculosFoda!AF147,"")</f>
        <v/>
      </c>
      <c r="E74" s="37" t="str">
        <f>IF(AND(OR('CalculoFoda-1'!H54=1,'CalculoFoda-1'!I54=1),OR('CalculoFoda-1'!F147=1,'CalculoFoda-1'!G147=1)),CalculosFoda!AF147,"")</f>
        <v/>
      </c>
      <c r="F74" s="37" t="str">
        <f>IF(AND(OR('CalculoFoda-1'!F54=1,'CalculoFoda-1'!G54=1),OR('CalculoFoda-1'!H147=1,'CalculoFoda-1'!I147=1)),CalculosFoda!AF147,"")</f>
        <v>Certificaciones exigidas por los compradores</v>
      </c>
      <c r="G74" s="37" t="str">
        <f>IF(AND(OR('CalculoFoda-1'!F54=1,'CalculoFoda-1'!G54=1),OR('CalculoFoda-1'!F147=1,'CalculoFoda-1'!G147=1)),CalculosFoda!AF147,"")</f>
        <v/>
      </c>
      <c r="H74" s="37" t="str">
        <f>IF(OR(NOT(OR('CalculoFoda-1'!F54=1,'CalculoFoda-1'!G54=1,'CalculoFoda-1'!H54=1,'CalculoFoda-1'!I54=1)),NOT(OR('CalculoFoda-1'!F147=1,'CalculoFoda-1'!G147=1,'CalculoFoda-1'!H147=1,'CalculoFoda-1'!I147=1))),"sin dato: "&amp;CalculosFoda!AF147,"")</f>
        <v/>
      </c>
    </row>
    <row r="75" spans="2:8" x14ac:dyDescent="0.25">
      <c r="D75" s="37" t="str">
        <f>IF(AND(OR('CalculoFoda-1'!H54=1,'CalculoFoda-1'!I54=1),OR('CalculoFoda-1'!H146=1,'CalculoFoda-1'!I146=1)),CalculosFoda!AF146,"")</f>
        <v/>
      </c>
      <c r="E75" s="37" t="str">
        <f>IF(AND(OR('CalculoFoda-1'!H54=1,'CalculoFoda-1'!I54=1),OR('CalculoFoda-1'!F146=1,'CalculoFoda-1'!G146=1)),CalculosFoda!AF146,"")</f>
        <v/>
      </c>
      <c r="F75" s="37" t="str">
        <f>IF(AND(OR('CalculoFoda-1'!F54=1,'CalculoFoda-1'!G54=1),OR('CalculoFoda-1'!H146=1,'CalculoFoda-1'!I146=1)),CalculosFoda!AF146,"")</f>
        <v/>
      </c>
      <c r="G75" s="37" t="str">
        <f>IF(AND(OR('CalculoFoda-1'!F54=1,'CalculoFoda-1'!G54=1),OR('CalculoFoda-1'!F146=1,'CalculoFoda-1'!G146=1)),CalculosFoda!AF146,"")</f>
        <v>Requisitos sanitarios y fitosanitarios del destino</v>
      </c>
      <c r="H75" s="37" t="str">
        <f>IF(OR(NOT(OR('CalculoFoda-1'!F54=1,'CalculoFoda-1'!G54=1,'CalculoFoda-1'!H54=1,'CalculoFoda-1'!I54=1)),NOT(OR('CalculoFoda-1'!F146=1,'CalculoFoda-1'!G146=1,'CalculoFoda-1'!H146=1,'CalculoFoda-1'!I146=1))),"sin dato: "&amp;CalculosFoda!AF146,"")</f>
        <v/>
      </c>
    </row>
    <row r="76" spans="2:8" x14ac:dyDescent="0.25">
      <c r="C76" s="12" t="str">
        <f>+CalculosFoda!AF55</f>
        <v>Trazabilidad y control de stock</v>
      </c>
      <c r="D76" s="37" t="str">
        <f>IF(AND(OR('CalculoFoda-1'!H55=1,'CalculoFoda-1'!I55=1),OR('CalculoFoda-1'!H115=1,'CalculoFoda-1'!I115=1)),CalculosFoda!AF115,"")</f>
        <v/>
      </c>
      <c r="E76" s="37" t="str">
        <f>IF(AND(OR('CalculoFoda-1'!H55=1,'CalculoFoda-1'!I55=1),OR('CalculoFoda-1'!F115=1,'CalculoFoda-1'!G115=1)),CalculosFoda!AF115,"")</f>
        <v/>
      </c>
      <c r="F76" s="37" t="str">
        <f>IF(AND(OR('CalculoFoda-1'!F55=1,'CalculoFoda-1'!G55=1),OR('CalculoFoda-1'!H115=1,'CalculoFoda-1'!I115=1)),CalculosFoda!AF115,"")</f>
        <v/>
      </c>
      <c r="G76" s="37" t="str">
        <f>IF(AND(OR('CalculoFoda-1'!F55=1,'CalculoFoda-1'!G55=1),OR('CalculoFoda-1'!F115=1,'CalculoFoda-1'!G115=1)),CalculosFoda!AF115,"")</f>
        <v>Trazabilidad y certificación digital</v>
      </c>
      <c r="H76" s="37" t="str">
        <f>IF(OR(NOT(OR('CalculoFoda-1'!F55=1,'CalculoFoda-1'!G55=1,'CalculoFoda-1'!H55=1,'CalculoFoda-1'!I55=1)),NOT(OR('CalculoFoda-1'!F115=1,'CalculoFoda-1'!G115=1,'CalculoFoda-1'!H115=1,'CalculoFoda-1'!I115=1))),"sin dato: "&amp;CalculosFoda!AF115,"")</f>
        <v/>
      </c>
    </row>
    <row r="77" spans="2:8" x14ac:dyDescent="0.25">
      <c r="C77" s="12" t="str">
        <f>+CalculosFoda!AF56</f>
        <v>Cumplimiento de plazos de entrega</v>
      </c>
      <c r="D77" s="37" t="str">
        <f>IF(AND(OR('CalculoFoda-1'!H56=1,'CalculoFoda-1'!I56=1),OR('CalculoFoda-1'!H119=1,'CalculoFoda-1'!I119=1)),CalculosFoda!AF119,"")</f>
        <v/>
      </c>
      <c r="E77" s="37" t="str">
        <f>IF(AND(OR('CalculoFoda-1'!H56=1,'CalculoFoda-1'!I56=1),OR('CalculoFoda-1'!F119=1,'CalculoFoda-1'!G119=1)),CalculosFoda!AF119,"")</f>
        <v>Pasos de frontera y puentes internacionales</v>
      </c>
      <c r="F77" s="37" t="str">
        <f>IF(AND(OR('CalculoFoda-1'!F56=1,'CalculoFoda-1'!G56=1),OR('CalculoFoda-1'!H119=1,'CalculoFoda-1'!I119=1)),CalculosFoda!AF119,"")</f>
        <v/>
      </c>
      <c r="G77" s="37" t="str">
        <f>IF(AND(OR('CalculoFoda-1'!F56=1,'CalculoFoda-1'!G56=1),OR('CalculoFoda-1'!F119=1,'CalculoFoda-1'!G119=1)),CalculosFoda!AF119,"")</f>
        <v/>
      </c>
      <c r="H77" s="37" t="str">
        <f>IF(OR(NOT(OR('CalculoFoda-1'!F56=1,'CalculoFoda-1'!G56=1,'CalculoFoda-1'!H56=1,'CalculoFoda-1'!I56=1)),NOT(OR('CalculoFoda-1'!F119=1,'CalculoFoda-1'!G119=1,'CalculoFoda-1'!H119=1,'CalculoFoda-1'!I119=1))),"sin dato: "&amp;CalculosFoda!AF119,"")</f>
        <v/>
      </c>
    </row>
    <row r="78" spans="2:8" x14ac:dyDescent="0.25">
      <c r="D78" s="37" t="str">
        <f>IF(AND(OR('CalculoFoda-1'!H56=1,'CalculoFoda-1'!I56=1),OR('CalculoFoda-1'!H121=1,'CalculoFoda-1'!I121=1)),CalculosFoda!AF121,"")</f>
        <v/>
      </c>
      <c r="E78" s="37" t="str">
        <f>IF(AND(OR('CalculoFoda-1'!H56=1,'CalculoFoda-1'!I56=1),OR('CalculoFoda-1'!F121=1,'CalculoFoda-1'!G121=1)),CalculosFoda!AF121,"")</f>
        <v/>
      </c>
      <c r="F78" s="37" t="str">
        <f>IF(AND(OR('CalculoFoda-1'!F56=1,'CalculoFoda-1'!G56=1),OR('CalculoFoda-1'!H121=1,'CalculoFoda-1'!I121=1)),CalculosFoda!AF121,"")</f>
        <v/>
      </c>
      <c r="G78" s="37" t="str">
        <f>IF(AND(OR('CalculoFoda-1'!F56=1,'CalculoFoda-1'!G56=1),OR('CalculoFoda-1'!F121=1,'CalculoFoda-1'!G121=1)),CalculosFoda!AF121,"")</f>
        <v/>
      </c>
      <c r="H78" s="37" t="str">
        <f>IF(OR(NOT(OR('CalculoFoda-1'!F56=1,'CalculoFoda-1'!G56=1,'CalculoFoda-1'!H56=1,'CalculoFoda-1'!I56=1)),NOT(OR('CalculoFoda-1'!F121=1,'CalculoFoda-1'!G121=1,'CalculoFoda-1'!H121=1,'CalculoFoda-1'!I121=1))),"sin dato: "&amp;CalculosFoda!AF121,"")</f>
        <v>sin dato: Costo y disponibilidad de fletes</v>
      </c>
    </row>
    <row r="79" spans="2:8" x14ac:dyDescent="0.25">
      <c r="C79" s="12" t="str">
        <f>+CalculosFoda!AF57</f>
        <v>Mejora de procesos e I+D</v>
      </c>
      <c r="D79" s="37" t="str">
        <f>IF(AND(OR('CalculoFoda-1'!H57=1,'CalculoFoda-1'!I57=1),OR('CalculoFoda-1'!H112=1,'CalculoFoda-1'!I112=1)),CalculosFoda!AF112,"")</f>
        <v/>
      </c>
      <c r="E79" s="37" t="str">
        <f>IF(AND(OR('CalculoFoda-1'!H57=1,'CalculoFoda-1'!I57=1),OR('CalculoFoda-1'!F112=1,'CalculoFoda-1'!G112=1)),CalculosFoda!AF112,"")</f>
        <v/>
      </c>
      <c r="F79" s="37" t="str">
        <f>IF(AND(OR('CalculoFoda-1'!F57=1,'CalculoFoda-1'!G57=1),OR('CalculoFoda-1'!H112=1,'CalculoFoda-1'!I112=1)),CalculosFoda!AF112,"")</f>
        <v/>
      </c>
      <c r="G79" s="37" t="str">
        <f>IF(AND(OR('CalculoFoda-1'!F57=1,'CalculoFoda-1'!G57=1),OR('CalculoFoda-1'!F112=1,'CalculoFoda-1'!G112=1)),CalculosFoda!AF112,"")</f>
        <v>Avances tecnológicos del sector</v>
      </c>
      <c r="H79" s="37" t="str">
        <f>IF(OR(NOT(OR('CalculoFoda-1'!F57=1,'CalculoFoda-1'!G57=1,'CalculoFoda-1'!H57=1,'CalculoFoda-1'!I57=1)),NOT(OR('CalculoFoda-1'!F112=1,'CalculoFoda-1'!G112=1,'CalculoFoda-1'!H112=1,'CalculoFoda-1'!I112=1))),"sin dato: "&amp;CalculosFoda!AF112,"")</f>
        <v/>
      </c>
    </row>
    <row r="80" spans="2:8" x14ac:dyDescent="0.25">
      <c r="C80" s="12" t="str">
        <f>+CalculosFoda!AF58</f>
        <v>Gestión ambiental y de residuos</v>
      </c>
      <c r="D80" s="37" t="str">
        <f>IF(AND(OR('CalculoFoda-1'!H58=1,'CalculoFoda-1'!I58=1),OR('CalculoFoda-1'!H145=1,'CalculoFoda-1'!I145=1)),CalculosFoda!AF145,"")</f>
        <v/>
      </c>
      <c r="E80" s="37" t="str">
        <f>IF(AND(OR('CalculoFoda-1'!H58=1,'CalculoFoda-1'!I58=1),OR('CalculoFoda-1'!F145=1,'CalculoFoda-1'!G145=1)),CalculosFoda!AF145,"")</f>
        <v/>
      </c>
      <c r="F80" s="37" t="str">
        <f>IF(AND(OR('CalculoFoda-1'!F58=1,'CalculoFoda-1'!G58=1),OR('CalculoFoda-1'!H145=1,'CalculoFoda-1'!I145=1)),CalculosFoda!AF145,"")</f>
        <v>Regulación ambiental y forestal</v>
      </c>
      <c r="G80" s="37" t="str">
        <f>IF(AND(OR('CalculoFoda-1'!F58=1,'CalculoFoda-1'!G58=1),OR('CalculoFoda-1'!F145=1,'CalculoFoda-1'!G145=1)),CalculosFoda!AF145,"")</f>
        <v/>
      </c>
      <c r="H80" s="37" t="str">
        <f>IF(OR(NOT(OR('CalculoFoda-1'!F58=1,'CalculoFoda-1'!G58=1,'CalculoFoda-1'!H58=1,'CalculoFoda-1'!I58=1)),NOT(OR('CalculoFoda-1'!F145=1,'CalculoFoda-1'!G145=1,'CalculoFoda-1'!H145=1,'CalculoFoda-1'!I145=1))),"sin dato: "&amp;CalculosFoda!AF145,"")</f>
        <v/>
      </c>
    </row>
    <row r="81" spans="2:8" x14ac:dyDescent="0.25">
      <c r="C81" s="12" t="str">
        <f>+CalculosFoda!AF59</f>
        <v>Seguridad e higiene laboral</v>
      </c>
      <c r="H81" s="41" t="s">
        <v>756</v>
      </c>
    </row>
    <row r="83" spans="2:8" x14ac:dyDescent="0.25">
      <c r="B83" s="40" t="str">
        <f>+FormularioFODA!B65</f>
        <v>Socios Clave</v>
      </c>
      <c r="C83" s="12" t="str">
        <f>+CalculosFoda!AF62</f>
        <v>Proveedores estratégicos</v>
      </c>
      <c r="D83" s="37" t="str">
        <f>IF(AND(OR('CalculoFoda-1'!H62=1,'CalculoFoda-1'!I62=1),OR('CalculoFoda-1'!H135=1,'CalculoFoda-1'!I135=1)),CalculosFoda!AF135,"")</f>
        <v>Cantidad de proveedores</v>
      </c>
      <c r="E83" s="37" t="str">
        <f>IF(AND(OR('CalculoFoda-1'!H62=1,'CalculoFoda-1'!I62=1),OR('CalculoFoda-1'!F135=1,'CalculoFoda-1'!G135=1)),CalculosFoda!AF135,"")</f>
        <v/>
      </c>
      <c r="F83" s="37" t="str">
        <f>IF(AND(OR('CalculoFoda-1'!F62=1,'CalculoFoda-1'!G62=1),OR('CalculoFoda-1'!H135=1,'CalculoFoda-1'!I135=1)),CalculosFoda!AF135,"")</f>
        <v/>
      </c>
      <c r="G83" s="37" t="str">
        <f>IF(AND(OR('CalculoFoda-1'!F62=1,'CalculoFoda-1'!G62=1),OR('CalculoFoda-1'!F135=1,'CalculoFoda-1'!G135=1)),CalculosFoda!AF135,"")</f>
        <v/>
      </c>
      <c r="H83" s="37" t="str">
        <f>IF(OR(NOT(OR('CalculoFoda-1'!F62=1,'CalculoFoda-1'!G62=1,'CalculoFoda-1'!H62=1,'CalculoFoda-1'!I62=1)),NOT(OR('CalculoFoda-1'!F135=1,'CalculoFoda-1'!G135=1,'CalculoFoda-1'!H135=1,'CalculoFoda-1'!I135=1))),"sin dato: "&amp;CalculosFoda!AF135,"")</f>
        <v/>
      </c>
    </row>
    <row r="84" spans="2:8" x14ac:dyDescent="0.25">
      <c r="D84" s="37" t="str">
        <f>IF(AND(OR('CalculoFoda-1'!H62=1,'CalculoFoda-1'!I62=1),OR('CalculoFoda-1'!H136=1,'CalculoFoda-1'!I136=1)),CalculosFoda!AF136,"")</f>
        <v/>
      </c>
      <c r="E84" s="37" t="str">
        <f>IF(AND(OR('CalculoFoda-1'!H62=1,'CalculoFoda-1'!I62=1),OR('CalculoFoda-1'!F136=1,'CalculoFoda-1'!G136=1)),CalculosFoda!AF136,"")</f>
        <v>Calidad y cumplimiento de proveedores</v>
      </c>
      <c r="F84" s="37" t="str">
        <f>IF(AND(OR('CalculoFoda-1'!F62=1,'CalculoFoda-1'!G62=1),OR('CalculoFoda-1'!H136=1,'CalculoFoda-1'!I136=1)),CalculosFoda!AF136,"")</f>
        <v/>
      </c>
      <c r="G84" s="37" t="str">
        <f>IF(AND(OR('CalculoFoda-1'!F62=1,'CalculoFoda-1'!G62=1),OR('CalculoFoda-1'!F136=1,'CalculoFoda-1'!G136=1)),CalculosFoda!AF136,"")</f>
        <v/>
      </c>
      <c r="H84" s="37" t="str">
        <f>IF(OR(NOT(OR('CalculoFoda-1'!F62=1,'CalculoFoda-1'!G62=1,'CalculoFoda-1'!H62=1,'CalculoFoda-1'!I62=1)),NOT(OR('CalculoFoda-1'!F136=1,'CalculoFoda-1'!G136=1,'CalculoFoda-1'!H136=1,'CalculoFoda-1'!I136=1))),"sin dato: "&amp;CalculosFoda!AF136,"")</f>
        <v/>
      </c>
    </row>
    <row r="85" spans="2:8" x14ac:dyDescent="0.25">
      <c r="D85" s="37" t="str">
        <f>IF(AND(OR('CalculoFoda-1'!H62=1,'CalculoFoda-1'!I62=1),OR('CalculoFoda-1'!H137=1,'CalculoFoda-1'!I137=1)),CalculosFoda!AF137,"")</f>
        <v/>
      </c>
      <c r="E85" s="37" t="str">
        <f>IF(AND(OR('CalculoFoda-1'!H62=1,'CalculoFoda-1'!I62=1),OR('CalculoFoda-1'!F137=1,'CalculoFoda-1'!G137=1)),CalculosFoda!AF137,"")</f>
        <v>Poder negociador de los proveedores</v>
      </c>
      <c r="F85" s="37" t="str">
        <f>IF(AND(OR('CalculoFoda-1'!F62=1,'CalculoFoda-1'!G62=1),OR('CalculoFoda-1'!H137=1,'CalculoFoda-1'!I137=1)),CalculosFoda!AF137,"")</f>
        <v/>
      </c>
      <c r="G85" s="37" t="str">
        <f>IF(AND(OR('CalculoFoda-1'!F62=1,'CalculoFoda-1'!G62=1),OR('CalculoFoda-1'!F137=1,'CalculoFoda-1'!G137=1)),CalculosFoda!AF137,"")</f>
        <v/>
      </c>
      <c r="H85" s="37" t="str">
        <f>IF(OR(NOT(OR('CalculoFoda-1'!F62=1,'CalculoFoda-1'!G62=1,'CalculoFoda-1'!H62=1,'CalculoFoda-1'!I62=1)),NOT(OR('CalculoFoda-1'!F137=1,'CalculoFoda-1'!G137=1,'CalculoFoda-1'!H137=1,'CalculoFoda-1'!I137=1))),"sin dato: "&amp;CalculosFoda!AF137,"")</f>
        <v/>
      </c>
    </row>
    <row r="86" spans="2:8" x14ac:dyDescent="0.25">
      <c r="C86" s="12" t="str">
        <f>+CalculosFoda!AF63</f>
        <v>Alianzas comerciales</v>
      </c>
      <c r="D86" s="37" t="str">
        <f>IF(AND(OR('CalculoFoda-1'!H63=1,'CalculoFoda-1'!I63=1),OR('CalculoFoda-1'!H127=1,'CalculoFoda-1'!I127=1)),CalculosFoda!AF127,"")</f>
        <v/>
      </c>
      <c r="E86" s="37" t="str">
        <f>IF(AND(OR('CalculoFoda-1'!H63=1,'CalculoFoda-1'!I63=1),OR('CalculoFoda-1'!F127=1,'CalculoFoda-1'!G127=1)),CalculosFoda!AF127,"")</f>
        <v/>
      </c>
      <c r="F86" s="37" t="str">
        <f>IF(AND(OR('CalculoFoda-1'!F63=1,'CalculoFoda-1'!G63=1),OR('CalculoFoda-1'!H127=1,'CalculoFoda-1'!I127=1)),CalculosFoda!AF127,"")</f>
        <v/>
      </c>
      <c r="G86" s="37" t="str">
        <f>IF(AND(OR('CalculoFoda-1'!F63=1,'CalculoFoda-1'!G63=1),OR('CalculoFoda-1'!F127=1,'CalculoFoda-1'!G127=1)),CalculosFoda!AF127,"")</f>
        <v/>
      </c>
      <c r="H86" s="37" t="str">
        <f>IF(OR(NOT(OR('CalculoFoda-1'!F63=1,'CalculoFoda-1'!G63=1,'CalculoFoda-1'!H63=1,'CalculoFoda-1'!I63=1)),NOT(OR('CalculoFoda-1'!F127=1,'CalculoFoda-1'!G127=1,'CalculoFoda-1'!H127=1,'CalculoFoda-1'!I127=1))),"sin dato: "&amp;CalculosFoda!AF127,"")</f>
        <v>sin dato: Barreras de entrada al mercado destino</v>
      </c>
    </row>
    <row r="87" spans="2:8" x14ac:dyDescent="0.25">
      <c r="D87" s="37" t="str">
        <f>IF(AND(OR('CalculoFoda-1'!H63=1,'CalculoFoda-1'!I63=1),OR('CalculoFoda-1'!H109=1,'CalculoFoda-1'!I109=1)),CalculosFoda!AF109,"")</f>
        <v/>
      </c>
      <c r="E87" s="37" t="str">
        <f>IF(AND(OR('CalculoFoda-1'!H63=1,'CalculoFoda-1'!I63=1),OR('CalculoFoda-1'!F109=1,'CalculoFoda-1'!G109=1)),CalculosFoda!AF109,"")</f>
        <v/>
      </c>
      <c r="F87" s="37" t="str">
        <f>IF(AND(OR('CalculoFoda-1'!F63=1,'CalculoFoda-1'!G63=1),OR('CalculoFoda-1'!H109=1,'CalculoFoda-1'!I109=1)),CalculosFoda!AF109,"")</f>
        <v>Asociativismo y cultura exportadora regional</v>
      </c>
      <c r="G87" s="37" t="str">
        <f>IF(AND(OR('CalculoFoda-1'!F63=1,'CalculoFoda-1'!G63=1),OR('CalculoFoda-1'!F109=1,'CalculoFoda-1'!G109=1)),CalculosFoda!AF109,"")</f>
        <v/>
      </c>
      <c r="H87" s="37" t="str">
        <f>IF(OR(NOT(OR('CalculoFoda-1'!F63=1,'CalculoFoda-1'!G63=1,'CalculoFoda-1'!H63=1,'CalculoFoda-1'!I63=1)),NOT(OR('CalculoFoda-1'!F109=1,'CalculoFoda-1'!G109=1,'CalculoFoda-1'!H109=1,'CalculoFoda-1'!I109=1))),"sin dato: "&amp;CalculosFoda!AF109,"")</f>
        <v/>
      </c>
    </row>
    <row r="88" spans="2:8" x14ac:dyDescent="0.25">
      <c r="C88" s="12" t="str">
        <f>+CalculosFoda!AF64</f>
        <v>Socios logísticos y aduaneros</v>
      </c>
      <c r="D88" s="37" t="str">
        <f>IF(AND(OR('CalculoFoda-1'!H64=1,'CalculoFoda-1'!I64=1),OR('CalculoFoda-1'!H123=1,'CalculoFoda-1'!I123=1)),CalculosFoda!AF123,"")</f>
        <v/>
      </c>
      <c r="E88" s="37" t="str">
        <f>IF(AND(OR('CalculoFoda-1'!H64=1,'CalculoFoda-1'!I64=1),OR('CalculoFoda-1'!F123=1,'CalculoFoda-1'!G123=1)),CalculosFoda!AF123,"")</f>
        <v/>
      </c>
      <c r="F88" s="37" t="str">
        <f>IF(AND(OR('CalculoFoda-1'!F64=1,'CalculoFoda-1'!G64=1),OR('CalculoFoda-1'!H123=1,'CalculoFoda-1'!I123=1)),CalculosFoda!AF123,"")</f>
        <v/>
      </c>
      <c r="G88" s="37" t="str">
        <f>IF(AND(OR('CalculoFoda-1'!F64=1,'CalculoFoda-1'!G64=1),OR('CalculoFoda-1'!F123=1,'CalculoFoda-1'!G123=1)),CalculosFoda!AF123,"")</f>
        <v>Prestadores logísticos regionales</v>
      </c>
      <c r="H88" s="37" t="str">
        <f>IF(OR(NOT(OR('CalculoFoda-1'!F64=1,'CalculoFoda-1'!G64=1,'CalculoFoda-1'!H64=1,'CalculoFoda-1'!I64=1)),NOT(OR('CalculoFoda-1'!F123=1,'CalculoFoda-1'!G123=1,'CalculoFoda-1'!H123=1,'CalculoFoda-1'!I123=1))),"sin dato: "&amp;CalculosFoda!AF123,"")</f>
        <v/>
      </c>
    </row>
    <row r="89" spans="2:8" x14ac:dyDescent="0.25">
      <c r="D89" s="37" t="str">
        <f>IF(AND(OR('CalculoFoda-1'!H64=1,'CalculoFoda-1'!I64=1),OR('CalculoFoda-1'!H122=1,'CalculoFoda-1'!I122=1)),CalculosFoda!AF122,"")</f>
        <v/>
      </c>
      <c r="E89" s="37" t="str">
        <f>IF(AND(OR('CalculoFoda-1'!H64=1,'CalculoFoda-1'!I64=1),OR('CalculoFoda-1'!F122=1,'CalculoFoda-1'!G122=1)),CalculosFoda!AF122,"")</f>
        <v/>
      </c>
      <c r="F89" s="37" t="str">
        <f>IF(AND(OR('CalculoFoda-1'!F64=1,'CalculoFoda-1'!G64=1),OR('CalculoFoda-1'!H122=1,'CalculoFoda-1'!I122=1)),CalculosFoda!AF122,"")</f>
        <v/>
      </c>
      <c r="G89" s="37" t="str">
        <f>IF(AND(OR('CalculoFoda-1'!F64=1,'CalculoFoda-1'!G64=1),OR('CalculoFoda-1'!F122=1,'CalculoFoda-1'!G122=1)),CalculosFoda!AF122,"")</f>
        <v>Servicios aduaneros locales</v>
      </c>
      <c r="H89" s="37" t="str">
        <f>IF(OR(NOT(OR('CalculoFoda-1'!F64=1,'CalculoFoda-1'!G64=1,'CalculoFoda-1'!H64=1,'CalculoFoda-1'!I64=1)),NOT(OR('CalculoFoda-1'!F122=1,'CalculoFoda-1'!G122=1,'CalculoFoda-1'!H122=1,'CalculoFoda-1'!I122=1))),"sin dato: "&amp;CalculosFoda!AF122,"")</f>
        <v/>
      </c>
    </row>
    <row r="90" spans="2:8" x14ac:dyDescent="0.25">
      <c r="C90" s="12" t="str">
        <f>+CalculosFoda!AF65</f>
        <v>Apoyo institucional</v>
      </c>
      <c r="D90" s="37" t="str">
        <f>IF(AND(OR('CalculoFoda-1'!H65=1,'CalculoFoda-1'!I65=1),OR('CalculoFoda-1'!H91=1,'CalculoFoda-1'!I91=1)),CalculosFoda!AF91,"")</f>
        <v/>
      </c>
      <c r="E90" s="37" t="str">
        <f>IF(AND(OR('CalculoFoda-1'!H65=1,'CalculoFoda-1'!I65=1),OR('CalculoFoda-1'!F91=1,'CalculoFoda-1'!G91=1)),CalculosFoda!AF91,"")</f>
        <v>Promoción y fomento a exportadores</v>
      </c>
      <c r="F90" s="37" t="str">
        <f>IF(AND(OR('CalculoFoda-1'!F65=1,'CalculoFoda-1'!G65=1),OR('CalculoFoda-1'!H91=1,'CalculoFoda-1'!I91=1)),CalculosFoda!AF91,"")</f>
        <v/>
      </c>
      <c r="G90" s="37" t="str">
        <f>IF(AND(OR('CalculoFoda-1'!F65=1,'CalculoFoda-1'!G65=1),OR('CalculoFoda-1'!F91=1,'CalculoFoda-1'!G91=1)),CalculosFoda!AF91,"")</f>
        <v/>
      </c>
      <c r="H90" s="37" t="str">
        <f>IF(OR(NOT(OR('CalculoFoda-1'!F65=1,'CalculoFoda-1'!G65=1,'CalculoFoda-1'!H65=1,'CalculoFoda-1'!I65=1)),NOT(OR('CalculoFoda-1'!F91=1,'CalculoFoda-1'!G91=1,'CalculoFoda-1'!H91=1,'CalculoFoda-1'!I91=1))),"sin dato: "&amp;CalculosFoda!AF91,"")</f>
        <v/>
      </c>
    </row>
    <row r="91" spans="2:8" x14ac:dyDescent="0.25">
      <c r="D91" s="37" t="str">
        <f>IF(AND(OR('CalculoFoda-1'!H65=1,'CalculoFoda-1'!I65=1),OR('CalculoFoda-1'!H109=1,'CalculoFoda-1'!I109=1)),CalculosFoda!AF109,"")</f>
        <v>Asociativismo y cultura exportadora regional</v>
      </c>
      <c r="E91" s="37" t="str">
        <f>IF(AND(OR('CalculoFoda-1'!H65=1,'CalculoFoda-1'!I65=1),OR('CalculoFoda-1'!F109=1,'CalculoFoda-1'!G109=1)),CalculosFoda!AF109,"")</f>
        <v/>
      </c>
      <c r="F91" s="37" t="str">
        <f>IF(AND(OR('CalculoFoda-1'!F65=1,'CalculoFoda-1'!G65=1),OR('CalculoFoda-1'!H109=1,'CalculoFoda-1'!I109=1)),CalculosFoda!AF109,"")</f>
        <v/>
      </c>
      <c r="G91" s="37" t="str">
        <f>IF(AND(OR('CalculoFoda-1'!F65=1,'CalculoFoda-1'!G65=1),OR('CalculoFoda-1'!F109=1,'CalculoFoda-1'!G109=1)),CalculosFoda!AF109,"")</f>
        <v/>
      </c>
      <c r="H91" s="37" t="str">
        <f>IF(OR(NOT(OR('CalculoFoda-1'!F65=1,'CalculoFoda-1'!G65=1,'CalculoFoda-1'!H65=1,'CalculoFoda-1'!I65=1)),NOT(OR('CalculoFoda-1'!F109=1,'CalculoFoda-1'!G109=1,'CalculoFoda-1'!H109=1,'CalculoFoda-1'!I109=1))),"sin dato: "&amp;CalculosFoda!AF109,"")</f>
        <v/>
      </c>
    </row>
    <row r="92" spans="2:8" x14ac:dyDescent="0.25">
      <c r="C92" s="12" t="str">
        <f>+CalculosFoda!AF66</f>
        <v>Socios financieros y de seguros</v>
      </c>
      <c r="D92" s="37" t="str">
        <f>IF(AND(OR('CalculoFoda-1'!H66=1,'CalculoFoda-1'!I66=1),OR('CalculoFoda-1'!H99=1,'CalculoFoda-1'!I99=1)),CalculosFoda!AF99,"")</f>
        <v/>
      </c>
      <c r="E92" s="37" t="str">
        <f>IF(AND(OR('CalculoFoda-1'!H66=1,'CalculoFoda-1'!I66=1),OR('CalculoFoda-1'!F99=1,'CalculoFoda-1'!G99=1)),CalculosFoda!AF99,"")</f>
        <v/>
      </c>
      <c r="F92" s="37" t="str">
        <f>IF(AND(OR('CalculoFoda-1'!F66=1,'CalculoFoda-1'!G66=1),OR('CalculoFoda-1'!H99=1,'CalculoFoda-1'!I99=1)),CalculosFoda!AF99,"")</f>
        <v/>
      </c>
      <c r="G92" s="37" t="str">
        <f>IF(AND(OR('CalculoFoda-1'!F66=1,'CalculoFoda-1'!G66=1),OR('CalculoFoda-1'!F99=1,'CalculoFoda-1'!G99=1)),CalculosFoda!AF99,"")</f>
        <v>Financiamiento y crédito para exportar</v>
      </c>
      <c r="H92" s="37" t="str">
        <f>IF(OR(NOT(OR('CalculoFoda-1'!F66=1,'CalculoFoda-1'!G66=1,'CalculoFoda-1'!H66=1,'CalculoFoda-1'!I66=1)),NOT(OR('CalculoFoda-1'!F99=1,'CalculoFoda-1'!G99=1,'CalculoFoda-1'!H99=1,'CalculoFoda-1'!I99=1))),"sin dato: "&amp;CalculosFoda!AF99,"")</f>
        <v/>
      </c>
    </row>
    <row r="93" spans="2:8" x14ac:dyDescent="0.25">
      <c r="C93" s="12" t="str">
        <f>+CalculosFoda!AF67</f>
        <v>Tercerización y subcontratación</v>
      </c>
      <c r="D93" s="37" t="str">
        <f>IF(AND(OR('CalculoFoda-1'!H67=1,'CalculoFoda-1'!I67=1),OR('CalculoFoda-1'!H137=1,'CalculoFoda-1'!I137=1)),CalculosFoda!AF137,"")</f>
        <v/>
      </c>
      <c r="E93" s="37" t="str">
        <f>IF(AND(OR('CalculoFoda-1'!H67=1,'CalculoFoda-1'!I67=1),OR('CalculoFoda-1'!F137=1,'CalculoFoda-1'!G137=1)),CalculosFoda!AF137,"")</f>
        <v>Poder negociador de los proveedores</v>
      </c>
      <c r="F93" s="37" t="str">
        <f>IF(AND(OR('CalculoFoda-1'!F67=1,'CalculoFoda-1'!G67=1),OR('CalculoFoda-1'!H137=1,'CalculoFoda-1'!I137=1)),CalculosFoda!AF137,"")</f>
        <v/>
      </c>
      <c r="G93" s="37" t="str">
        <f>IF(AND(OR('CalculoFoda-1'!F67=1,'CalculoFoda-1'!G67=1),OR('CalculoFoda-1'!F137=1,'CalculoFoda-1'!G137=1)),CalculosFoda!AF137,"")</f>
        <v/>
      </c>
      <c r="H93" s="37" t="str">
        <f>IF(OR(NOT(OR('CalculoFoda-1'!F67=1,'CalculoFoda-1'!G67=1,'CalculoFoda-1'!H67=1,'CalculoFoda-1'!I67=1)),NOT(OR('CalculoFoda-1'!F137=1,'CalculoFoda-1'!G137=1,'CalculoFoda-1'!H137=1,'CalculoFoda-1'!I137=1))),"sin dato: "&amp;CalculosFoda!AF137,"")</f>
        <v/>
      </c>
    </row>
    <row r="95" spans="2:8" x14ac:dyDescent="0.25">
      <c r="B95" s="40" t="str">
        <f>+FormularioFODA!B73</f>
        <v>Estructura de Costos</v>
      </c>
      <c r="C95" s="12" t="str">
        <f>+CalculosFoda!AF70</f>
        <v>Costos fijos</v>
      </c>
      <c r="D95" s="37" t="str">
        <f>IF(AND(OR('CalculoFoda-1'!H70=1,'CalculoFoda-1'!I70=1),OR('CalculoFoda-1'!H98=1,'CalculoFoda-1'!I98=1)),CalculosFoda!AF98,"")</f>
        <v/>
      </c>
      <c r="E95" s="37" t="str">
        <f>IF(AND(OR('CalculoFoda-1'!H70=1,'CalculoFoda-1'!I70=1),OR('CalculoFoda-1'!F98=1,'CalculoFoda-1'!G98=1)),CalculosFoda!AF98,"")</f>
        <v/>
      </c>
      <c r="F95" s="37" t="str">
        <f>IF(AND(OR('CalculoFoda-1'!F70=1,'CalculoFoda-1'!G70=1),OR('CalculoFoda-1'!H98=1,'CalculoFoda-1'!I98=1)),CalculosFoda!AF98,"")</f>
        <v/>
      </c>
      <c r="G95" s="37" t="str">
        <f>IF(AND(OR('CalculoFoda-1'!F70=1,'CalculoFoda-1'!G70=1),OR('CalculoFoda-1'!F98=1,'CalculoFoda-1'!G98=1)),CalculosFoda!AF98,"")</f>
        <v/>
      </c>
      <c r="H95" s="37" t="str">
        <f>IF(OR(NOT(OR('CalculoFoda-1'!F70=1,'CalculoFoda-1'!G70=1,'CalculoFoda-1'!H70=1,'CalculoFoda-1'!I70=1)),NOT(OR('CalculoFoda-1'!F98=1,'CalculoFoda-1'!G98=1,'CalculoFoda-1'!H98=1,'CalculoFoda-1'!I98=1))),"sin dato: "&amp;CalculosFoda!AF98,"")</f>
        <v>sin dato: Inflación y costos internos</v>
      </c>
    </row>
    <row r="96" spans="2:8" x14ac:dyDescent="0.25">
      <c r="D96" s="37" t="str">
        <f>IF(AND(OR('CalculoFoda-1'!H70=1,'CalculoFoda-1'!I70=1),OR('CalculoFoda-1'!H124=1,'CalculoFoda-1'!I124=1)),CalculosFoda!AF124,"")</f>
        <v/>
      </c>
      <c r="E96" s="37" t="str">
        <f>IF(AND(OR('CalculoFoda-1'!H70=1,'CalculoFoda-1'!I70=1),OR('CalculoFoda-1'!F124=1,'CalculoFoda-1'!G124=1)),CalculosFoda!AF124,"")</f>
        <v>Energía y servicios públicos industriales</v>
      </c>
      <c r="F96" s="37" t="str">
        <f>IF(AND(OR('CalculoFoda-1'!F70=1,'CalculoFoda-1'!G70=1),OR('CalculoFoda-1'!H124=1,'CalculoFoda-1'!I124=1)),CalculosFoda!AF124,"")</f>
        <v/>
      </c>
      <c r="G96" s="37" t="str">
        <f>IF(AND(OR('CalculoFoda-1'!F70=1,'CalculoFoda-1'!G70=1),OR('CalculoFoda-1'!F124=1,'CalculoFoda-1'!G124=1)),CalculosFoda!AF124,"")</f>
        <v/>
      </c>
      <c r="H96" s="37" t="str">
        <f>IF(OR(NOT(OR('CalculoFoda-1'!F70=1,'CalculoFoda-1'!G70=1,'CalculoFoda-1'!H70=1,'CalculoFoda-1'!I70=1)),NOT(OR('CalculoFoda-1'!F124=1,'CalculoFoda-1'!G124=1,'CalculoFoda-1'!H124=1,'CalculoFoda-1'!I124=1))),"sin dato: "&amp;CalculosFoda!AF124,"")</f>
        <v/>
      </c>
    </row>
    <row r="97" spans="2:8" x14ac:dyDescent="0.25">
      <c r="C97" s="12" t="str">
        <f>+CalculosFoda!AF71</f>
        <v>Punto de equilibrio y escala mínima exportable</v>
      </c>
      <c r="D97" s="37" t="str">
        <f>IF(AND(OR('CalculoFoda-1'!H71=1,'CalculoFoda-1'!I71=1),OR('CalculoFoda-1'!H97=1,'CalculoFoda-1'!I97=1)),CalculosFoda!AF97,"")</f>
        <v/>
      </c>
      <c r="E97" s="37" t="str">
        <f>IF(AND(OR('CalculoFoda-1'!H71=1,'CalculoFoda-1'!I71=1),OR('CalculoFoda-1'!F97=1,'CalculoFoda-1'!G97=1)),CalculosFoda!AF97,"")</f>
        <v/>
      </c>
      <c r="F97" s="37" t="str">
        <f>IF(AND(OR('CalculoFoda-1'!F71=1,'CalculoFoda-1'!G71=1),OR('CalculoFoda-1'!H97=1,'CalculoFoda-1'!I97=1)),CalculosFoda!AF97,"")</f>
        <v/>
      </c>
      <c r="G97" s="37" t="str">
        <f>IF(AND(OR('CalculoFoda-1'!F71=1,'CalculoFoda-1'!G71=1),OR('CalculoFoda-1'!F97=1,'CalculoFoda-1'!G97=1)),CalculosFoda!AF97,"")</f>
        <v/>
      </c>
      <c r="H97" s="37" t="str">
        <f>IF(OR(NOT(OR('CalculoFoda-1'!F71=1,'CalculoFoda-1'!G71=1,'CalculoFoda-1'!H71=1,'CalculoFoda-1'!I71=1)),NOT(OR('CalculoFoda-1'!F97=1,'CalculoFoda-1'!G97=1,'CalculoFoda-1'!H97=1,'CalculoFoda-1'!I97=1))),"sin dato: "&amp;CalculosFoda!AF97,"")</f>
        <v>sin dato: Tipo de cambio y competitividad</v>
      </c>
    </row>
    <row r="98" spans="2:8" x14ac:dyDescent="0.25">
      <c r="C98" s="12" t="str">
        <f>+CalculosFoda!AF72</f>
        <v>Sistema de costos de exportación</v>
      </c>
      <c r="D98" s="37" t="str">
        <f>IF(AND(OR('CalculoFoda-1'!H72=1,'CalculoFoda-1'!I72=1),OR('CalculoFoda-1'!H97=1,'CalculoFoda-1'!I97=1)),CalculosFoda!AF97,"")</f>
        <v/>
      </c>
      <c r="E98" s="37" t="str">
        <f>IF(AND(OR('CalculoFoda-1'!H72=1,'CalculoFoda-1'!I72=1),OR('CalculoFoda-1'!F97=1,'CalculoFoda-1'!G97=1)),CalculosFoda!AF97,"")</f>
        <v>Tipo de cambio y competitividad</v>
      </c>
      <c r="F98" s="37" t="str">
        <f>IF(AND(OR('CalculoFoda-1'!F72=1,'CalculoFoda-1'!G72=1),OR('CalculoFoda-1'!H97=1,'CalculoFoda-1'!I97=1)),CalculosFoda!AF97,"")</f>
        <v/>
      </c>
      <c r="G98" s="37" t="str">
        <f>IF(AND(OR('CalculoFoda-1'!F72=1,'CalculoFoda-1'!G72=1),OR('CalculoFoda-1'!F97=1,'CalculoFoda-1'!G97=1)),CalculosFoda!AF97,"")</f>
        <v/>
      </c>
      <c r="H98" s="37" t="str">
        <f>IF(OR(NOT(OR('CalculoFoda-1'!F72=1,'CalculoFoda-1'!G72=1,'CalculoFoda-1'!H72=1,'CalculoFoda-1'!I72=1)),NOT(OR('CalculoFoda-1'!F97=1,'CalculoFoda-1'!G97=1,'CalculoFoda-1'!H97=1,'CalculoFoda-1'!I97=1))),"sin dato: "&amp;CalculosFoda!AF97,"")</f>
        <v/>
      </c>
    </row>
    <row r="99" spans="2:8" x14ac:dyDescent="0.25">
      <c r="D99" s="37" t="str">
        <f>IF(AND(OR('CalculoFoda-1'!H72=1,'CalculoFoda-1'!I72=1),OR('CalculoFoda-1'!H101=1,'CalculoFoda-1'!I101=1)),CalculosFoda!AF101,"")</f>
        <v>Impuestos, derechos de exportación y reintegros</v>
      </c>
      <c r="E99" s="37" t="str">
        <f>IF(AND(OR('CalculoFoda-1'!H72=1,'CalculoFoda-1'!I72=1),OR('CalculoFoda-1'!F101=1,'CalculoFoda-1'!G101=1)),CalculosFoda!AF101,"")</f>
        <v/>
      </c>
      <c r="F99" s="37" t="str">
        <f>IF(AND(OR('CalculoFoda-1'!F72=1,'CalculoFoda-1'!G72=1),OR('CalculoFoda-1'!H101=1,'CalculoFoda-1'!I101=1)),CalculosFoda!AF101,"")</f>
        <v/>
      </c>
      <c r="G99" s="37" t="str">
        <f>IF(AND(OR('CalculoFoda-1'!F72=1,'CalculoFoda-1'!G72=1),OR('CalculoFoda-1'!F101=1,'CalculoFoda-1'!G101=1)),CalculosFoda!AF101,"")</f>
        <v/>
      </c>
      <c r="H99" s="37" t="str">
        <f>IF(OR(NOT(OR('CalculoFoda-1'!F72=1,'CalculoFoda-1'!G72=1,'CalculoFoda-1'!H72=1,'CalculoFoda-1'!I72=1)),NOT(OR('CalculoFoda-1'!F101=1,'CalculoFoda-1'!G101=1,'CalculoFoda-1'!H101=1,'CalculoFoda-1'!I101=1))),"sin dato: "&amp;CalculosFoda!AF101,"")</f>
        <v/>
      </c>
    </row>
    <row r="100" spans="2:8" x14ac:dyDescent="0.25">
      <c r="C100" s="12" t="str">
        <f>+CalculosFoda!AF73</f>
        <v>Costo de materias primas</v>
      </c>
      <c r="D100" s="37" t="str">
        <f>IF(AND(OR('CalculoFoda-1'!H73=1,'CalculoFoda-1'!I73=1),OR('CalculoFoda-1'!H137=1,'CalculoFoda-1'!I137=1)),CalculosFoda!AF137,"")</f>
        <v/>
      </c>
      <c r="E100" s="37" t="str">
        <f>IF(AND(OR('CalculoFoda-1'!H73=1,'CalculoFoda-1'!I73=1),OR('CalculoFoda-1'!F137=1,'CalculoFoda-1'!G137=1)),CalculosFoda!AF137,"")</f>
        <v/>
      </c>
      <c r="F100" s="37" t="str">
        <f>IF(AND(OR('CalculoFoda-1'!F73=1,'CalculoFoda-1'!G73=1),OR('CalculoFoda-1'!H137=1,'CalculoFoda-1'!I137=1)),CalculosFoda!AF137,"")</f>
        <v/>
      </c>
      <c r="G100" s="37" t="str">
        <f>IF(AND(OR('CalculoFoda-1'!F73=1,'CalculoFoda-1'!G73=1),OR('CalculoFoda-1'!F137=1,'CalculoFoda-1'!G137=1)),CalculosFoda!AF137,"")</f>
        <v>Poder negociador de los proveedores</v>
      </c>
      <c r="H100" s="37" t="str">
        <f>IF(OR(NOT(OR('CalculoFoda-1'!F73=1,'CalculoFoda-1'!G73=1,'CalculoFoda-1'!H73=1,'CalculoFoda-1'!I73=1)),NOT(OR('CalculoFoda-1'!F137=1,'CalculoFoda-1'!G137=1,'CalculoFoda-1'!H137=1,'CalculoFoda-1'!I137=1))),"sin dato: "&amp;CalculosFoda!AF137,"")</f>
        <v/>
      </c>
    </row>
    <row r="101" spans="2:8" x14ac:dyDescent="0.25">
      <c r="D101" s="37" t="str">
        <f>IF(AND(OR('CalculoFoda-1'!H73=1,'CalculoFoda-1'!I73=1),OR('CalculoFoda-1'!H138=1,'CalculoFoda-1'!I138=1)),CalculosFoda!AF138,"")</f>
        <v/>
      </c>
      <c r="E101" s="37" t="str">
        <f>IF(AND(OR('CalculoFoda-1'!H73=1,'CalculoFoda-1'!I73=1),OR('CalculoFoda-1'!F138=1,'CalculoFoda-1'!G138=1)),CalculosFoda!AF138,"")</f>
        <v/>
      </c>
      <c r="F101" s="37" t="str">
        <f>IF(AND(OR('CalculoFoda-1'!F73=1,'CalculoFoda-1'!G73=1),OR('CalculoFoda-1'!H138=1,'CalculoFoda-1'!I138=1)),CalculosFoda!AF138,"")</f>
        <v>Disponibilidad y estacionalidad de materia prima</v>
      </c>
      <c r="G101" s="37" t="str">
        <f>IF(AND(OR('CalculoFoda-1'!F73=1,'CalculoFoda-1'!G73=1),OR('CalculoFoda-1'!F138=1,'CalculoFoda-1'!G138=1)),CalculosFoda!AF138,"")</f>
        <v/>
      </c>
      <c r="H101" s="37" t="str">
        <f>IF(OR(NOT(OR('CalculoFoda-1'!F73=1,'CalculoFoda-1'!G73=1,'CalculoFoda-1'!H73=1,'CalculoFoda-1'!I73=1)),NOT(OR('CalculoFoda-1'!F138=1,'CalculoFoda-1'!G138=1,'CalculoFoda-1'!H138=1,'CalculoFoda-1'!I138=1))),"sin dato: "&amp;CalculosFoda!AF138,"")</f>
        <v/>
      </c>
    </row>
    <row r="102" spans="2:8" x14ac:dyDescent="0.25">
      <c r="D102" s="37" t="str">
        <f>IF(AND(OR('CalculoFoda-1'!H73=1,'CalculoFoda-1'!I73=1),OR('CalculoFoda-1'!H102=1,'CalculoFoda-1'!I102=1)),CalculosFoda!AF102,"")</f>
        <v/>
      </c>
      <c r="E102" s="37" t="str">
        <f>IF(AND(OR('CalculoFoda-1'!H73=1,'CalculoFoda-1'!I73=1),OR('CalculoFoda-1'!F102=1,'CalculoFoda-1'!G102=1)),CalculosFoda!AF102,"")</f>
        <v/>
      </c>
      <c r="F102" s="37" t="str">
        <f>IF(AND(OR('CalculoFoda-1'!F73=1,'CalculoFoda-1'!G73=1),OR('CalculoFoda-1'!H102=1,'CalculoFoda-1'!I102=1)),CalculosFoda!AF102,"")</f>
        <v>Precios internacionales del producto</v>
      </c>
      <c r="G102" s="37" t="str">
        <f>IF(AND(OR('CalculoFoda-1'!F73=1,'CalculoFoda-1'!G73=1),OR('CalculoFoda-1'!F102=1,'CalculoFoda-1'!G102=1)),CalculosFoda!AF102,"")</f>
        <v/>
      </c>
      <c r="H102" s="37" t="str">
        <f>IF(OR(NOT(OR('CalculoFoda-1'!F73=1,'CalculoFoda-1'!G73=1,'CalculoFoda-1'!H73=1,'CalculoFoda-1'!I73=1)),NOT(OR('CalculoFoda-1'!F102=1,'CalculoFoda-1'!G102=1,'CalculoFoda-1'!H102=1,'CalculoFoda-1'!I102=1))),"sin dato: "&amp;CalculosFoda!AF102,"")</f>
        <v/>
      </c>
    </row>
    <row r="103" spans="2:8" x14ac:dyDescent="0.25">
      <c r="C103" s="12" t="str">
        <f>+CalculosFoda!AF74</f>
        <v>Costos logísticos y de comercio exterior</v>
      </c>
      <c r="D103" s="37" t="str">
        <f>IF(AND(OR('CalculoFoda-1'!H74=1,'CalculoFoda-1'!I74=1),OR('CalculoFoda-1'!H121=1,'CalculoFoda-1'!I121=1)),CalculosFoda!AF121,"")</f>
        <v/>
      </c>
      <c r="E103" s="37" t="str">
        <f>IF(AND(OR('CalculoFoda-1'!H74=1,'CalculoFoda-1'!I74=1),OR('CalculoFoda-1'!F121=1,'CalculoFoda-1'!G121=1)),CalculosFoda!AF121,"")</f>
        <v/>
      </c>
      <c r="F103" s="37" t="str">
        <f>IF(AND(OR('CalculoFoda-1'!F74=1,'CalculoFoda-1'!G74=1),OR('CalculoFoda-1'!H121=1,'CalculoFoda-1'!I121=1)),CalculosFoda!AF121,"")</f>
        <v/>
      </c>
      <c r="G103" s="37" t="str">
        <f>IF(AND(OR('CalculoFoda-1'!F74=1,'CalculoFoda-1'!G74=1),OR('CalculoFoda-1'!F121=1,'CalculoFoda-1'!G121=1)),CalculosFoda!AF121,"")</f>
        <v/>
      </c>
      <c r="H103" s="37" t="str">
        <f>IF(OR(NOT(OR('CalculoFoda-1'!F74=1,'CalculoFoda-1'!G74=1,'CalculoFoda-1'!H74=1,'CalculoFoda-1'!I74=1)),NOT(OR('CalculoFoda-1'!F121=1,'CalculoFoda-1'!G121=1,'CalculoFoda-1'!H121=1,'CalculoFoda-1'!I121=1))),"sin dato: "&amp;CalculosFoda!AF121,"")</f>
        <v>sin dato: Costo y disponibilidad de fletes</v>
      </c>
    </row>
    <row r="104" spans="2:8" x14ac:dyDescent="0.25">
      <c r="C104" s="12" t="str">
        <f>+CalculosFoda!AF75</f>
        <v>Endeudamiento</v>
      </c>
      <c r="D104" s="37" t="str">
        <f>IF(AND(OR('CalculoFoda-1'!H75=1,'CalculoFoda-1'!I75=1),OR('CalculoFoda-1'!H99=1,'CalculoFoda-1'!I99=1)),CalculosFoda!AF99,"")</f>
        <v/>
      </c>
      <c r="E104" s="37" t="str">
        <f>IF(AND(OR('CalculoFoda-1'!H75=1,'CalculoFoda-1'!I75=1),OR('CalculoFoda-1'!F99=1,'CalculoFoda-1'!G99=1)),CalculosFoda!AF99,"")</f>
        <v>Financiamiento y crédito para exportar</v>
      </c>
      <c r="F104" s="37" t="str">
        <f>IF(AND(OR('CalculoFoda-1'!F75=1,'CalculoFoda-1'!G75=1),OR('CalculoFoda-1'!H99=1,'CalculoFoda-1'!I99=1)),CalculosFoda!AF99,"")</f>
        <v/>
      </c>
      <c r="G104" s="37" t="str">
        <f>IF(AND(OR('CalculoFoda-1'!F75=1,'CalculoFoda-1'!G75=1),OR('CalculoFoda-1'!F99=1,'CalculoFoda-1'!G99=1)),CalculosFoda!AF99,"")</f>
        <v/>
      </c>
      <c r="H104" s="37" t="str">
        <f>IF(OR(NOT(OR('CalculoFoda-1'!F75=1,'CalculoFoda-1'!G75=1,'CalculoFoda-1'!H75=1,'CalculoFoda-1'!I75=1)),NOT(OR('CalculoFoda-1'!F99=1,'CalculoFoda-1'!G99=1,'CalculoFoda-1'!H99=1,'CalculoFoda-1'!I99=1))),"sin dato: "&amp;CalculosFoda!AF99,"")</f>
        <v/>
      </c>
    </row>
    <row r="106" spans="2:8" ht="25.5" x14ac:dyDescent="0.25">
      <c r="B106" s="40" t="str">
        <f>+FormularioFODA!B82</f>
        <v>Gestión y Compromiso Exportador</v>
      </c>
      <c r="C106" s="12" t="str">
        <f>+CalculosFoda!AF78</f>
        <v>Estrategia y objetivos de largo plazo</v>
      </c>
      <c r="D106" s="37" t="str">
        <f>IF(AND(OR('CalculoFoda-1'!H78=1,'CalculoFoda-1'!I78=1),OR('CalculoFoda-1'!H87=1,'CalculoFoda-1'!I87=1)),CalculosFoda!AF87,"")</f>
        <v/>
      </c>
      <c r="E106" s="37" t="str">
        <f>IF(AND(OR('CalculoFoda-1'!H78=1,'CalculoFoda-1'!I78=1),OR('CalculoFoda-1'!F87=1,'CalculoFoda-1'!G87=1)),CalculosFoda!AF87,"")</f>
        <v/>
      </c>
      <c r="F106" s="37" t="str">
        <f>IF(AND(OR('CalculoFoda-1'!F78=1,'CalculoFoda-1'!G78=1),OR('CalculoFoda-1'!H87=1,'CalculoFoda-1'!I87=1)),CalculosFoda!AF87,"")</f>
        <v/>
      </c>
      <c r="G106" s="37" t="str">
        <f>IF(AND(OR('CalculoFoda-1'!F78=1,'CalculoFoda-1'!G78=1),OR('CalculoFoda-1'!F87=1,'CalculoFoda-1'!G87=1)),CalculosFoda!AF87,"")</f>
        <v>Política de comercio exterior</v>
      </c>
      <c r="H106" s="37" t="str">
        <f>IF(OR(NOT(OR('CalculoFoda-1'!F78=1,'CalculoFoda-1'!G78=1,'CalculoFoda-1'!H78=1,'CalculoFoda-1'!I78=1)),NOT(OR('CalculoFoda-1'!F87=1,'CalculoFoda-1'!G87=1,'CalculoFoda-1'!H87=1,'CalculoFoda-1'!I87=1))),"sin dato: "&amp;CalculosFoda!AF87,"")</f>
        <v/>
      </c>
    </row>
    <row r="107" spans="2:8" x14ac:dyDescent="0.25">
      <c r="C107" s="12" t="str">
        <f>+CalculosFoda!AF79</f>
        <v>Compromiso de la dirección</v>
      </c>
      <c r="H107" s="41" t="s">
        <v>756</v>
      </c>
    </row>
    <row r="108" spans="2:8" x14ac:dyDescent="0.25">
      <c r="C108" s="12" t="str">
        <f>+CalculosFoda!AF80</f>
        <v>Estructura y responsable de comercio exterior</v>
      </c>
      <c r="H108" s="41" t="s">
        <v>756</v>
      </c>
    </row>
    <row r="109" spans="2:8" x14ac:dyDescent="0.25">
      <c r="C109" s="12" t="str">
        <f>+CalculosFoda!AF81</f>
        <v>Conocimiento de la competencia internacional</v>
      </c>
      <c r="D109" s="37" t="str">
        <f>IF(AND(OR('CalculoFoda-1'!H81=1,'CalculoFoda-1'!I81=1),OR('CalculoFoda-1'!H131=1,'CalculoFoda-1'!I131=1)),CalculosFoda!AF131,"")</f>
        <v/>
      </c>
      <c r="E109" s="37" t="str">
        <f>IF(AND(OR('CalculoFoda-1'!H81=1,'CalculoFoda-1'!I81=1),OR('CalculoFoda-1'!F131=1,'CalculoFoda-1'!G131=1)),CalculosFoda!AF131,"")</f>
        <v>Rivalidad y competidores internacionales</v>
      </c>
      <c r="F109" s="37" t="str">
        <f>IF(AND(OR('CalculoFoda-1'!F81=1,'CalculoFoda-1'!G81=1),OR('CalculoFoda-1'!H131=1,'CalculoFoda-1'!I131=1)),CalculosFoda!AF131,"")</f>
        <v/>
      </c>
      <c r="G109" s="37" t="str">
        <f>IF(AND(OR('CalculoFoda-1'!F81=1,'CalculoFoda-1'!G81=1),OR('CalculoFoda-1'!F131=1,'CalculoFoda-1'!G131=1)),CalculosFoda!AF131,"")</f>
        <v/>
      </c>
      <c r="H109" s="37" t="str">
        <f>IF(OR(NOT(OR('CalculoFoda-1'!F81=1,'CalculoFoda-1'!G81=1,'CalculoFoda-1'!H81=1,'CalculoFoda-1'!I81=1)),NOT(OR('CalculoFoda-1'!F131=1,'CalculoFoda-1'!G131=1,'CalculoFoda-1'!H131=1,'CalculoFoda-1'!I131=1))),"sin dato: "&amp;CalculosFoda!AF131,"")</f>
        <v/>
      </c>
    </row>
    <row r="110" spans="2:8" x14ac:dyDescent="0.25">
      <c r="D110" s="37" t="str">
        <f>IF(AND(OR('CalculoFoda-1'!H81=1,'CalculoFoda-1'!I81=1),OR('CalculoFoda-1'!H132=1,'CalculoFoda-1'!I132=1)),CalculosFoda!AF132,"")</f>
        <v>Cambios del mercado e inteligencia comercial</v>
      </c>
      <c r="E110" s="37" t="str">
        <f>IF(AND(OR('CalculoFoda-1'!H81=1,'CalculoFoda-1'!I81=1),OR('CalculoFoda-1'!F132=1,'CalculoFoda-1'!G132=1)),CalculosFoda!AF132,"")</f>
        <v/>
      </c>
      <c r="F110" s="37" t="str">
        <f>IF(AND(OR('CalculoFoda-1'!F81=1,'CalculoFoda-1'!G81=1),OR('CalculoFoda-1'!H132=1,'CalculoFoda-1'!I132=1)),CalculosFoda!AF132,"")</f>
        <v/>
      </c>
      <c r="G110" s="37" t="str">
        <f>IF(AND(OR('CalculoFoda-1'!F81=1,'CalculoFoda-1'!G81=1),OR('CalculoFoda-1'!F132=1,'CalculoFoda-1'!G132=1)),CalculosFoda!AF132,"")</f>
        <v/>
      </c>
      <c r="H110" s="37" t="str">
        <f>IF(OR(NOT(OR('CalculoFoda-1'!F81=1,'CalculoFoda-1'!G81=1,'CalculoFoda-1'!H81=1,'CalculoFoda-1'!I81=1)),NOT(OR('CalculoFoda-1'!F132=1,'CalculoFoda-1'!G132=1,'CalculoFoda-1'!H132=1,'CalculoFoda-1'!I132=1))),"sin dato: "&amp;CalculosFoda!AF132,"")</f>
        <v/>
      </c>
    </row>
    <row r="111" spans="2:8" x14ac:dyDescent="0.25">
      <c r="C111" s="12" t="str">
        <f>+CalculosFoda!AF82</f>
        <v>Capacidad de anticipación a los cambios</v>
      </c>
      <c r="D111" s="37" t="str">
        <f>IF(AND(OR('CalculoFoda-1'!H82=1,'CalculoFoda-1'!I82=1),OR('CalculoFoda-1'!H87=1,'CalculoFoda-1'!I87=1)),CalculosFoda!AF87,"")</f>
        <v/>
      </c>
      <c r="E111" s="37" t="str">
        <f>IF(AND(OR('CalculoFoda-1'!H82=1,'CalculoFoda-1'!I82=1),OR('CalculoFoda-1'!F87=1,'CalculoFoda-1'!G87=1)),CalculosFoda!AF87,"")</f>
        <v/>
      </c>
      <c r="F111" s="37" t="str">
        <f>IF(AND(OR('CalculoFoda-1'!F82=1,'CalculoFoda-1'!G82=1),OR('CalculoFoda-1'!H87=1,'CalculoFoda-1'!I87=1)),CalculosFoda!AF87,"")</f>
        <v/>
      </c>
      <c r="G111" s="37" t="str">
        <f>IF(AND(OR('CalculoFoda-1'!F82=1,'CalculoFoda-1'!G82=1),OR('CalculoFoda-1'!F87=1,'CalculoFoda-1'!G87=1)),CalculosFoda!AF87,"")</f>
        <v>Política de comercio exterior</v>
      </c>
      <c r="H111" s="37" t="str">
        <f>IF(OR(NOT(OR('CalculoFoda-1'!F82=1,'CalculoFoda-1'!G82=1,'CalculoFoda-1'!H82=1,'CalculoFoda-1'!I82=1)),NOT(OR('CalculoFoda-1'!F87=1,'CalculoFoda-1'!G87=1,'CalculoFoda-1'!H87=1,'CalculoFoda-1'!I87=1))),"sin dato: "&amp;CalculosFoda!AF87,"")</f>
        <v/>
      </c>
    </row>
    <row r="112" spans="2:8" x14ac:dyDescent="0.25">
      <c r="D112" s="37" t="str">
        <f>IF(AND(OR('CalculoFoda-1'!H82=1,'CalculoFoda-1'!I82=1),OR('CalculoFoda-1'!H97=1,'CalculoFoda-1'!I97=1)),CalculosFoda!AF97,"")</f>
        <v/>
      </c>
      <c r="E112" s="37" t="str">
        <f>IF(AND(OR('CalculoFoda-1'!H82=1,'CalculoFoda-1'!I82=1),OR('CalculoFoda-1'!F97=1,'CalculoFoda-1'!G97=1)),CalculosFoda!AF97,"")</f>
        <v/>
      </c>
      <c r="F112" s="37" t="str">
        <f>IF(AND(OR('CalculoFoda-1'!F82=1,'CalculoFoda-1'!G82=1),OR('CalculoFoda-1'!H97=1,'CalculoFoda-1'!I97=1)),CalculosFoda!AF97,"")</f>
        <v/>
      </c>
      <c r="G112" s="37" t="str">
        <f>IF(AND(OR('CalculoFoda-1'!F82=1,'CalculoFoda-1'!G82=1),OR('CalculoFoda-1'!F97=1,'CalculoFoda-1'!G97=1)),CalculosFoda!AF97,"")</f>
        <v>Tipo de cambio y competitividad</v>
      </c>
      <c r="H112" s="37" t="str">
        <f>IF(OR(NOT(OR('CalculoFoda-1'!F82=1,'CalculoFoda-1'!G82=1,'CalculoFoda-1'!H82=1,'CalculoFoda-1'!I82=1)),NOT(OR('CalculoFoda-1'!F97=1,'CalculoFoda-1'!G97=1,'CalculoFoda-1'!H97=1,'CalculoFoda-1'!I97=1))),"sin dato: "&amp;CalculosFoda!AF97,"")</f>
        <v/>
      </c>
    </row>
    <row r="113" spans="3:8" x14ac:dyDescent="0.25">
      <c r="C113" s="12" t="str">
        <f>+CalculosFoda!AF83</f>
        <v>Cultura empresarial y estilo de dirección</v>
      </c>
      <c r="H113" s="41" t="s">
        <v>756</v>
      </c>
    </row>
    <row r="114" spans="3:8" x14ac:dyDescent="0.25">
      <c r="C114" s="12" t="str">
        <f>+CalculosFoda!AF84</f>
        <v>Herramientas de planificación y control</v>
      </c>
      <c r="H114" s="41" t="s">
        <v>756</v>
      </c>
    </row>
  </sheetData>
  <pageMargins left="0.75" right="0.75" top="1" bottom="1"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E148"/>
  <sheetViews>
    <sheetView showGridLines="0" zoomScaleNormal="100" workbookViewId="0">
      <pane ySplit="2" topLeftCell="A3" activePane="bottomLeft" state="frozen"/>
      <selection pane="bottomLeft" activeCell="D3" sqref="D3"/>
    </sheetView>
  </sheetViews>
  <sheetFormatPr baseColWidth="10" defaultColWidth="8.7109375" defaultRowHeight="15" x14ac:dyDescent="0.25"/>
  <cols>
    <col min="1" max="1" width="2" customWidth="1"/>
    <col min="2" max="2" width="34.7109375" customWidth="1"/>
    <col min="3" max="3" width="6.5703125" customWidth="1"/>
    <col min="4" max="4" width="46.7109375" customWidth="1"/>
    <col min="5" max="5" width="52.5703125" customWidth="1"/>
  </cols>
  <sheetData>
    <row r="2" spans="2:5" x14ac:dyDescent="0.25">
      <c r="B2" s="42" t="s">
        <v>748</v>
      </c>
      <c r="C2" s="42"/>
      <c r="D2" s="42" t="s">
        <v>737</v>
      </c>
      <c r="E2" s="42" t="s">
        <v>738</v>
      </c>
    </row>
    <row r="3" spans="2:5" x14ac:dyDescent="0.25">
      <c r="B3" s="12" t="str">
        <f>+FormularioFODA!B5</f>
        <v>Segmentos de Clientes</v>
      </c>
      <c r="C3" s="43" t="s">
        <v>247</v>
      </c>
      <c r="D3" s="43" t="str">
        <f>+IF(OR('CalculoFoda-1'!H3=1,'CalculoFoda-1'!I3=1),CalculosFoda!AF3,"")</f>
        <v>Definición de segmentos y países objetivo</v>
      </c>
      <c r="E3" s="43" t="str">
        <f>+IF(OR('CalculoFoda-1'!F3=1,'CalculoFoda-1'!G3=1),CalculosFoda!AF3,"")</f>
        <v/>
      </c>
    </row>
    <row r="4" spans="2:5" x14ac:dyDescent="0.25">
      <c r="C4" s="43" t="s">
        <v>253</v>
      </c>
      <c r="D4" s="43" t="str">
        <f>+IF(OR('CalculoFoda-1'!H4=1,'CalculoFoda-1'!I4=1),CalculosFoda!AF4,"")</f>
        <v>Conocimiento de las necesidades del cliente externo</v>
      </c>
      <c r="E4" s="43" t="str">
        <f>+IF(OR('CalculoFoda-1'!F4=1,'CalculoFoda-1'!G4=1),CalculosFoda!AF4,"")</f>
        <v/>
      </c>
    </row>
    <row r="5" spans="2:5" x14ac:dyDescent="0.25">
      <c r="C5" s="43" t="s">
        <v>258</v>
      </c>
      <c r="D5" s="43" t="str">
        <f>+IF(OR('CalculoFoda-1'!H5=1,'CalculoFoda-1'!I5=1),CalculosFoda!AF5,"")</f>
        <v>Concentración de clientes</v>
      </c>
      <c r="E5" s="43" t="str">
        <f>+IF(OR('CalculoFoda-1'!F5=1,'CalculoFoda-1'!G5=1),CalculosFoda!AF5,"")</f>
        <v/>
      </c>
    </row>
    <row r="6" spans="2:5" x14ac:dyDescent="0.25">
      <c r="C6" s="43" t="s">
        <v>263</v>
      </c>
      <c r="D6" s="43" t="str">
        <f>+IF(OR('CalculoFoda-1'!H6=1,'CalculoFoda-1'!I6=1),CalculosFoda!AF6,"")</f>
        <v/>
      </c>
      <c r="E6" s="43" t="str">
        <f>+IF(OR('CalculoFoda-1'!F6=1,'CalculoFoda-1'!G6=1),CalculosFoda!AF6,"")</f>
        <v>Experiencia previa exportadora</v>
      </c>
    </row>
    <row r="7" spans="2:5" x14ac:dyDescent="0.25">
      <c r="C7" s="43" t="s">
        <v>268</v>
      </c>
      <c r="D7" s="43" t="str">
        <f>+IF(OR('CalculoFoda-1'!H7=1,'CalculoFoda-1'!I7=1),CalculosFoda!AF7,"")</f>
        <v/>
      </c>
      <c r="E7" s="43" t="str">
        <f>+IF(OR('CalculoFoda-1'!F7=1,'CalculoFoda-1'!G7=1),CalculosFoda!AF7,"")</f>
        <v>Acceso a información de mercados</v>
      </c>
    </row>
    <row r="10" spans="2:5" x14ac:dyDescent="0.25">
      <c r="B10" s="12" t="str">
        <f>+FormularioFODA!B12</f>
        <v>Propuesta de Valor</v>
      </c>
      <c r="C10" s="43" t="s">
        <v>273</v>
      </c>
      <c r="D10" s="43" t="str">
        <f>+IF(OR('CalculoFoda-1'!H10=1,'CalculoFoda-1'!I10=1),CalculosFoda!AF10,"")</f>
        <v/>
      </c>
      <c r="E10" s="43" t="str">
        <f>+IF(OR('CalculoFoda-1'!F10=1,'CalculoFoda-1'!G10=1),CalculosFoda!AF10,"")</f>
        <v>Diferenciación del producto</v>
      </c>
    </row>
    <row r="11" spans="2:5" x14ac:dyDescent="0.25">
      <c r="C11" s="43" t="s">
        <v>279</v>
      </c>
      <c r="D11" s="43" t="str">
        <f>+IF(OR('CalculoFoda-1'!H11=1,'CalculoFoda-1'!I11=1),CalculosFoda!AF11,"")</f>
        <v>Adecuación a requisitos del mercado destino</v>
      </c>
      <c r="E11" s="43" t="str">
        <f>+IF(OR('CalculoFoda-1'!F11=1,'CalculoFoda-1'!G11=1),CalculosFoda!AF11,"")</f>
        <v/>
      </c>
    </row>
    <row r="12" spans="2:5" x14ac:dyDescent="0.25">
      <c r="C12" s="43" t="s">
        <v>283</v>
      </c>
      <c r="D12" s="43" t="str">
        <f>+IF(OR('CalculoFoda-1'!H12=1,'CalculoFoda-1'!I12=1),CalculosFoda!AF12,"")</f>
        <v/>
      </c>
      <c r="E12" s="43" t="str">
        <f>+IF(OR('CalculoFoda-1'!F12=1,'CalculoFoda-1'!G12=1),CalculosFoda!AF12,"")</f>
        <v>Certificaciones y normas de producto</v>
      </c>
    </row>
    <row r="13" spans="2:5" x14ac:dyDescent="0.25">
      <c r="C13" s="43" t="s">
        <v>287</v>
      </c>
      <c r="D13" s="43" t="str">
        <f>+IF(OR('CalculoFoda-1'!H13=1,'CalculoFoda-1'!I13=1),CalculosFoda!AF13,"")</f>
        <v>Competitividad de precio internacional</v>
      </c>
      <c r="E13" s="43" t="str">
        <f>+IF(OR('CalculoFoda-1'!F13=1,'CalculoFoda-1'!G13=1),CalculosFoda!AF13,"")</f>
        <v/>
      </c>
    </row>
    <row r="14" spans="2:5" x14ac:dyDescent="0.25">
      <c r="C14" s="43" t="s">
        <v>291</v>
      </c>
      <c r="D14" s="43" t="str">
        <f>+IF(OR('CalculoFoda-1'!H14=1,'CalculoFoda-1'!I14=1),CalculosFoda!AF14,"")</f>
        <v>Marca, presentación y material comercial</v>
      </c>
      <c r="E14" s="43" t="str">
        <f>+IF(OR('CalculoFoda-1'!F14=1,'CalculoFoda-1'!G14=1),CalculosFoda!AF14,"")</f>
        <v/>
      </c>
    </row>
    <row r="15" spans="2:5" x14ac:dyDescent="0.25">
      <c r="C15" s="43" t="s">
        <v>295</v>
      </c>
      <c r="D15" s="43" t="str">
        <f>+IF(OR('CalculoFoda-1'!H15=1,'CalculoFoda-1'!I15=1),CalculosFoda!AF15,"")</f>
        <v/>
      </c>
      <c r="E15" s="43" t="str">
        <f>+IF(OR('CalculoFoda-1'!F15=1,'CalculoFoda-1'!G15=1),CalculosFoda!AF15,"")</f>
        <v>Origen e identidad regional</v>
      </c>
    </row>
    <row r="16" spans="2:5" x14ac:dyDescent="0.25">
      <c r="C16" s="43" t="s">
        <v>299</v>
      </c>
      <c r="D16" s="43" t="str">
        <f>+IF(OR('CalculoFoda-1'!H16=1,'CalculoFoda-1'!I16=1),CalculosFoda!AF16,"")</f>
        <v/>
      </c>
      <c r="E16" s="43" t="str">
        <f>+IF(OR('CalculoFoda-1'!F16=1,'CalculoFoda-1'!G16=1),CalculosFoda!AF16,"")</f>
        <v>Amplitud de línea y desarrollo de nuevos productos</v>
      </c>
    </row>
    <row r="19" spans="2:5" x14ac:dyDescent="0.25">
      <c r="B19" s="12" t="str">
        <f>+FormularioFODA!B21</f>
        <v>Canales</v>
      </c>
      <c r="C19" s="43" t="s">
        <v>303</v>
      </c>
      <c r="D19" s="43" t="str">
        <f>+IF(OR('CalculoFoda-1'!H19=1,'CalculoFoda-1'!I19=1),CalculosFoda!AF19,"")</f>
        <v>Canales de comercialización externos</v>
      </c>
      <c r="E19" s="43" t="str">
        <f>+IF(OR('CalculoFoda-1'!F19=1,'CalculoFoda-1'!G19=1),CalculosFoda!AF19,"")</f>
        <v/>
      </c>
    </row>
    <row r="20" spans="2:5" x14ac:dyDescent="0.25">
      <c r="C20" s="43" t="s">
        <v>309</v>
      </c>
      <c r="D20" s="43" t="str">
        <f>+IF(OR('CalculoFoda-1'!H20=1,'CalculoFoda-1'!I20=1),CalculosFoda!AF20,"")</f>
        <v/>
      </c>
      <c r="E20" s="43" t="str">
        <f>+IF(OR('CalculoFoda-1'!F20=1,'CalculoFoda-1'!G20=1),CalculosFoda!AF20,"")</f>
        <v>Presencia digital y venta online</v>
      </c>
    </row>
    <row r="21" spans="2:5" x14ac:dyDescent="0.25">
      <c r="C21" s="43" t="s">
        <v>314</v>
      </c>
      <c r="D21" s="43" t="str">
        <f>+IF(OR('CalculoFoda-1'!H21=1,'CalculoFoda-1'!I21=1),CalculosFoda!AF21,"")</f>
        <v/>
      </c>
      <c r="E21" s="43" t="str">
        <f>+IF(OR('CalculoFoda-1'!F21=1,'CalculoFoda-1'!G21=1),CalculosFoda!AF21,"")</f>
        <v>Promoción internacional</v>
      </c>
    </row>
    <row r="22" spans="2:5" x14ac:dyDescent="0.25">
      <c r="C22" s="43" t="s">
        <v>319</v>
      </c>
      <c r="D22" s="43" t="str">
        <f>+IF(OR('CalculoFoda-1'!H22=1,'CalculoFoda-1'!I22=1),CalculosFoda!AF22,"")</f>
        <v/>
      </c>
      <c r="E22" s="43" t="str">
        <f>+IF(OR('CalculoFoda-1'!F22=1,'CalculoFoda-1'!G22=1),CalculosFoda!AF22,"")</f>
        <v>Logística y embalaje de exportación</v>
      </c>
    </row>
    <row r="23" spans="2:5" x14ac:dyDescent="0.25">
      <c r="C23" s="43" t="s">
        <v>324</v>
      </c>
      <c r="D23" s="43" t="str">
        <f>+IF(OR('CalculoFoda-1'!H23=1,'CalculoFoda-1'!I23=1),CalculosFoda!AF23,"")</f>
        <v/>
      </c>
      <c r="E23" s="43" t="str">
        <f>+IF(OR('CalculoFoda-1'!F23=1,'CalculoFoda-1'!G23=1),CalculosFoda!AF23,"")</f>
        <v>Gestión documental y aduanera</v>
      </c>
    </row>
    <row r="26" spans="2:5" x14ac:dyDescent="0.25">
      <c r="B26" s="12" t="str">
        <f>+FormularioFODA!B28</f>
        <v>Relación con Clientes</v>
      </c>
      <c r="C26" s="43" t="s">
        <v>329</v>
      </c>
      <c r="D26" s="43" t="str">
        <f>+IF(OR('CalculoFoda-1'!H26=1,'CalculoFoda-1'!I26=1),CalculosFoda!AF26,"")</f>
        <v>Atención y postventa internacional</v>
      </c>
      <c r="E26" s="43" t="str">
        <f>+IF(OR('CalculoFoda-1'!F26=1,'CalculoFoda-1'!G26=1),CalculosFoda!AF26,"")</f>
        <v/>
      </c>
    </row>
    <row r="27" spans="2:5" x14ac:dyDescent="0.25">
      <c r="C27" s="43" t="s">
        <v>335</v>
      </c>
      <c r="D27" s="43" t="str">
        <f>+IF(OR('CalculoFoda-1'!H27=1,'CalculoFoda-1'!I27=1),CalculosFoda!AF27,"")</f>
        <v/>
      </c>
      <c r="E27" s="43" t="str">
        <f>+IF(OR('CalculoFoda-1'!F27=1,'CalculoFoda-1'!G27=1),CalculosFoda!AF27,"")</f>
        <v>Comunicación en idioma extranjero</v>
      </c>
    </row>
    <row r="28" spans="2:5" x14ac:dyDescent="0.25">
      <c r="C28" s="43" t="s">
        <v>340</v>
      </c>
      <c r="D28" s="43" t="str">
        <f>+IF(OR('CalculoFoda-1'!H28=1,'CalculoFoda-1'!I28=1),CalculosFoda!AF28,"")</f>
        <v/>
      </c>
      <c r="E28" s="43" t="str">
        <f>+IF(OR('CalculoFoda-1'!F28=1,'CalculoFoda-1'!G28=1),CalculosFoda!AF28,"")</f>
        <v>Contratos y condiciones con compradores</v>
      </c>
    </row>
    <row r="29" spans="2:5" x14ac:dyDescent="0.25">
      <c r="C29" s="43" t="s">
        <v>345</v>
      </c>
      <c r="D29" s="43" t="str">
        <f>+IF(OR('CalculoFoda-1'!H29=1,'CalculoFoda-1'!I29=1),CalculosFoda!AF29,"")</f>
        <v/>
      </c>
      <c r="E29" s="43" t="str">
        <f>+IF(OR('CalculoFoda-1'!F29=1,'CalculoFoda-1'!G29=1),CalculosFoda!AF29,"")</f>
        <v>Fidelización y recompra</v>
      </c>
    </row>
    <row r="30" spans="2:5" x14ac:dyDescent="0.25">
      <c r="C30" s="43" t="s">
        <v>350</v>
      </c>
      <c r="D30" s="43" t="str">
        <f>+IF(OR('CalculoFoda-1'!H30=1,'CalculoFoda-1'!I30=1),CalculosFoda!AF30,"")</f>
        <v/>
      </c>
      <c r="E30" s="43" t="str">
        <f>+IF(OR('CalculoFoda-1'!F30=1,'CalculoFoda-1'!G30=1),CalculosFoda!AF30,"")</f>
        <v>Gestión de reclamos y devoluciones</v>
      </c>
    </row>
    <row r="33" spans="2:5" x14ac:dyDescent="0.25">
      <c r="B33" s="12" t="str">
        <f>+FormularioFODA!B35</f>
        <v>Fuentes de Ingresos</v>
      </c>
      <c r="C33" s="43" t="s">
        <v>354</v>
      </c>
      <c r="D33" s="43" t="str">
        <f>+IF(OR('CalculoFoda-1'!H33=1,'CalculoFoda-1'!I33=1),CalculosFoda!AF33,"")</f>
        <v>Evolución de ventas</v>
      </c>
      <c r="E33" s="43" t="str">
        <f>+IF(OR('CalculoFoda-1'!F33=1,'CalculoFoda-1'!G33=1),CalculosFoda!AF33,"")</f>
        <v/>
      </c>
    </row>
    <row r="34" spans="2:5" x14ac:dyDescent="0.25">
      <c r="C34" s="43" t="s">
        <v>359</v>
      </c>
      <c r="D34" s="43" t="str">
        <f>+IF(OR('CalculoFoda-1'!H34=1,'CalculoFoda-1'!I34=1),CalculosFoda!AF34,"")</f>
        <v>Fijación de precio de exportación</v>
      </c>
      <c r="E34" s="43" t="str">
        <f>+IF(OR('CalculoFoda-1'!F34=1,'CalculoFoda-1'!G34=1),CalculosFoda!AF34,"")</f>
        <v/>
      </c>
    </row>
    <row r="35" spans="2:5" x14ac:dyDescent="0.25">
      <c r="C35" s="43" t="s">
        <v>364</v>
      </c>
      <c r="D35" s="43" t="str">
        <f>+IF(OR('CalculoFoda-1'!H35=1,'CalculoFoda-1'!I35=1),CalculosFoda!AF35,"")</f>
        <v/>
      </c>
      <c r="E35" s="43" t="str">
        <f>+IF(OR('CalculoFoda-1'!F35=1,'CalculoFoda-1'!G35=1),CalculosFoda!AF35,"")</f>
        <v/>
      </c>
    </row>
    <row r="36" spans="2:5" x14ac:dyDescent="0.25">
      <c r="C36" s="43" t="s">
        <v>369</v>
      </c>
      <c r="D36" s="43" t="str">
        <f>+IF(OR('CalculoFoda-1'!H36=1,'CalculoFoda-1'!I36=1),CalculosFoda!AF36,"")</f>
        <v>Medios y condiciones de cobro</v>
      </c>
      <c r="E36" s="43" t="str">
        <f>+IF(OR('CalculoFoda-1'!F36=1,'CalculoFoda-1'!G36=1),CalculosFoda!AF36,"")</f>
        <v/>
      </c>
    </row>
    <row r="37" spans="2:5" x14ac:dyDescent="0.25">
      <c r="C37" s="43" t="s">
        <v>374</v>
      </c>
      <c r="D37" s="43" t="str">
        <f>+IF(OR('CalculoFoda-1'!H37=1,'CalculoFoda-1'!I37=1),CalculosFoda!AF37,"")</f>
        <v>Diversificación de ingresos</v>
      </c>
      <c r="E37" s="43" t="str">
        <f>+IF(OR('CalculoFoda-1'!F37=1,'CalculoFoda-1'!G37=1),CalculosFoda!AF37,"")</f>
        <v/>
      </c>
    </row>
    <row r="38" spans="2:5" x14ac:dyDescent="0.25">
      <c r="C38" s="43" t="s">
        <v>378</v>
      </c>
      <c r="D38" s="43" t="str">
        <f>+IF(OR('CalculoFoda-1'!H38=1,'CalculoFoda-1'!I38=1),CalculosFoda!AF38,"")</f>
        <v/>
      </c>
      <c r="E38" s="43" t="str">
        <f>+IF(OR('CalculoFoda-1'!F38=1,'CalculoFoda-1'!G38=1),CalculosFoda!AF38,"")</f>
        <v>Resistencia a variaciones cambiarias</v>
      </c>
    </row>
    <row r="41" spans="2:5" x14ac:dyDescent="0.25">
      <c r="B41" s="12" t="str">
        <f>+FormularioFODA!B44</f>
        <v>Recursos Clave</v>
      </c>
      <c r="C41" s="43" t="s">
        <v>383</v>
      </c>
      <c r="D41" s="43" t="str">
        <f>+IF(OR('CalculoFoda-1'!H41=1,'CalculoFoda-1'!I41=1),CalculosFoda!AF41,"")</f>
        <v>Capacidad instalada y ociosa</v>
      </c>
      <c r="E41" s="43" t="str">
        <f>+IF(OR('CalculoFoda-1'!F41=1,'CalculoFoda-1'!G41=1),CalculosFoda!AF41,"")</f>
        <v/>
      </c>
    </row>
    <row r="42" spans="2:5" x14ac:dyDescent="0.25">
      <c r="C42" s="43" t="s">
        <v>388</v>
      </c>
      <c r="D42" s="43" t="str">
        <f>+IF(OR('CalculoFoda-1'!H42=1,'CalculoFoda-1'!I42=1),CalculosFoda!AF42,"")</f>
        <v>Estado y tecnología de la maquinaria</v>
      </c>
      <c r="E42" s="43" t="str">
        <f>+IF(OR('CalculoFoda-1'!F42=1,'CalculoFoda-1'!G42=1),CalculosFoda!AF42,"")</f>
        <v/>
      </c>
    </row>
    <row r="43" spans="2:5" x14ac:dyDescent="0.25">
      <c r="C43" s="43" t="s">
        <v>392</v>
      </c>
      <c r="D43" s="43" t="str">
        <f>+IF(OR('CalculoFoda-1'!H43=1,'CalculoFoda-1'!I43=1),CalculosFoda!AF43,"")</f>
        <v>Personal calificado</v>
      </c>
      <c r="E43" s="43" t="str">
        <f>+IF(OR('CalculoFoda-1'!F43=1,'CalculoFoda-1'!G43=1),CalculosFoda!AF43,"")</f>
        <v/>
      </c>
    </row>
    <row r="44" spans="2:5" x14ac:dyDescent="0.25">
      <c r="C44" s="43" t="s">
        <v>396</v>
      </c>
      <c r="D44" s="43" t="str">
        <f>+IF(OR('CalculoFoda-1'!H44=1,'CalculoFoda-1'!I44=1),CalculosFoda!AF44,"")</f>
        <v/>
      </c>
      <c r="E44" s="43" t="str">
        <f>+IF(OR('CalculoFoda-1'!F44=1,'CalculoFoda-1'!G44=1),CalculosFoda!AF44,"")</f>
        <v>Formación continua y capacitación en comercio exterior</v>
      </c>
    </row>
    <row r="45" spans="2:5" x14ac:dyDescent="0.25">
      <c r="C45" s="43" t="s">
        <v>400</v>
      </c>
      <c r="D45" s="43" t="str">
        <f>+IF(OR('CalculoFoda-1'!H45=1,'CalculoFoda-1'!I45=1),CalculosFoda!AF45,"")</f>
        <v/>
      </c>
      <c r="E45" s="43" t="str">
        <f>+IF(OR('CalculoFoda-1'!F45=1,'CalculoFoda-1'!G45=1),CalculosFoda!AF45,"")</f>
        <v>Capital de trabajo y capacidad financiera</v>
      </c>
    </row>
    <row r="46" spans="2:5" x14ac:dyDescent="0.25">
      <c r="C46" s="43" t="s">
        <v>404</v>
      </c>
      <c r="D46" s="43" t="str">
        <f>+IF(OR('CalculoFoda-1'!H46=1,'CalculoFoda-1'!I46=1),CalculosFoda!AF46,"")</f>
        <v>Sistemas de información y gestión</v>
      </c>
      <c r="E46" s="43" t="str">
        <f>+IF(OR('CalculoFoda-1'!F46=1,'CalculoFoda-1'!G46=1),CalculosFoda!AF46,"")</f>
        <v/>
      </c>
    </row>
    <row r="47" spans="2:5" x14ac:dyDescent="0.25">
      <c r="C47" s="43" t="s">
        <v>408</v>
      </c>
      <c r="D47" s="43" t="str">
        <f>+IF(OR('CalculoFoda-1'!H47=1,'CalculoFoda-1'!I47=1),CalculosFoda!AF47,"")</f>
        <v/>
      </c>
      <c r="E47" s="43" t="str">
        <f>+IF(OR('CalculoFoda-1'!F47=1,'CalculoFoda-1'!G47=1),CalculosFoda!AF47,"")</f>
        <v>Infraestructura, depósitos y conservación</v>
      </c>
    </row>
    <row r="48" spans="2:5" x14ac:dyDescent="0.25">
      <c r="C48" s="43" t="s">
        <v>412</v>
      </c>
      <c r="D48" s="43" t="str">
        <f>+IF(OR('CalculoFoda-1'!H48=1,'CalculoFoda-1'!I48=1),CalculosFoda!AF48,"")</f>
        <v>Habilitaciones y registros oficiales</v>
      </c>
      <c r="E48" s="43" t="str">
        <f>+IF(OR('CalculoFoda-1'!F48=1,'CalculoFoda-1'!G48=1),CalculosFoda!AF48,"")</f>
        <v/>
      </c>
    </row>
    <row r="51" spans="2:5" x14ac:dyDescent="0.25">
      <c r="B51" s="12" t="str">
        <f>+FormularioFODA!B54</f>
        <v>Actividades Clave</v>
      </c>
      <c r="C51" s="43" t="s">
        <v>416</v>
      </c>
      <c r="D51" s="43" t="str">
        <f>+IF(OR('CalculoFoda-1'!H51=1,'CalculoFoda-1'!I51=1),CalculosFoda!AF51,"")</f>
        <v/>
      </c>
      <c r="E51" s="43" t="str">
        <f>+IF(OR('CalculoFoda-1'!F51=1,'CalculoFoda-1'!G51=1),CalculosFoda!AF51,"")</f>
        <v>Descripción técnica y estandarización</v>
      </c>
    </row>
    <row r="52" spans="2:5" x14ac:dyDescent="0.25">
      <c r="C52" s="43" t="s">
        <v>421</v>
      </c>
      <c r="D52" s="43" t="str">
        <f>+IF(OR('CalculoFoda-1'!H52=1,'CalculoFoda-1'!I52=1),CalculosFoda!AF52,"")</f>
        <v>Mantenimiento y continuidad operativa</v>
      </c>
      <c r="E52" s="43" t="str">
        <f>+IF(OR('CalculoFoda-1'!F52=1,'CalculoFoda-1'!G52=1),CalculosFoda!AF52,"")</f>
        <v/>
      </c>
    </row>
    <row r="53" spans="2:5" x14ac:dyDescent="0.25">
      <c r="C53" s="43" t="s">
        <v>425</v>
      </c>
      <c r="D53" s="43" t="str">
        <f>+IF(OR('CalculoFoda-1'!H53=1,'CalculoFoda-1'!I53=1),CalculosFoda!AF53,"")</f>
        <v>Planificación de producción y abastecimiento</v>
      </c>
      <c r="E53" s="43" t="str">
        <f>+IF(OR('CalculoFoda-1'!F53=1,'CalculoFoda-1'!G53=1),CalculosFoda!AF53,"")</f>
        <v/>
      </c>
    </row>
    <row r="54" spans="2:5" x14ac:dyDescent="0.25">
      <c r="C54" s="43" t="s">
        <v>429</v>
      </c>
      <c r="D54" s="43" t="str">
        <f>+IF(OR('CalculoFoda-1'!H54=1,'CalculoFoda-1'!I54=1),CalculosFoda!AF54,"")</f>
        <v/>
      </c>
      <c r="E54" s="43" t="str">
        <f>+IF(OR('CalculoFoda-1'!F54=1,'CalculoFoda-1'!G54=1),CalculosFoda!AF54,"")</f>
        <v>Gestión de calidad</v>
      </c>
    </row>
    <row r="55" spans="2:5" x14ac:dyDescent="0.25">
      <c r="C55" s="43" t="s">
        <v>433</v>
      </c>
      <c r="D55" s="43" t="str">
        <f>+IF(OR('CalculoFoda-1'!H55=1,'CalculoFoda-1'!I55=1),CalculosFoda!AF55,"")</f>
        <v/>
      </c>
      <c r="E55" s="43" t="str">
        <f>+IF(OR('CalculoFoda-1'!F55=1,'CalculoFoda-1'!G55=1),CalculosFoda!AF55,"")</f>
        <v>Trazabilidad y control de stock</v>
      </c>
    </row>
    <row r="56" spans="2:5" x14ac:dyDescent="0.25">
      <c r="C56" s="43" t="s">
        <v>437</v>
      </c>
      <c r="D56" s="43" t="str">
        <f>+IF(OR('CalculoFoda-1'!H56=1,'CalculoFoda-1'!I56=1),CalculosFoda!AF56,"")</f>
        <v>Cumplimiento de plazos de entrega</v>
      </c>
      <c r="E56" s="43" t="str">
        <f>+IF(OR('CalculoFoda-1'!F56=1,'CalculoFoda-1'!G56=1),CalculosFoda!AF56,"")</f>
        <v/>
      </c>
    </row>
    <row r="57" spans="2:5" x14ac:dyDescent="0.25">
      <c r="C57" s="43" t="s">
        <v>441</v>
      </c>
      <c r="D57" s="43" t="str">
        <f>+IF(OR('CalculoFoda-1'!H57=1,'CalculoFoda-1'!I57=1),CalculosFoda!AF57,"")</f>
        <v/>
      </c>
      <c r="E57" s="43" t="str">
        <f>+IF(OR('CalculoFoda-1'!F57=1,'CalculoFoda-1'!G57=1),CalculosFoda!AF57,"")</f>
        <v>Mejora de procesos e I+D</v>
      </c>
    </row>
    <row r="58" spans="2:5" x14ac:dyDescent="0.25">
      <c r="C58" s="43" t="s">
        <v>445</v>
      </c>
      <c r="D58" s="43" t="str">
        <f>+IF(OR('CalculoFoda-1'!H58=1,'CalculoFoda-1'!I58=1),CalculosFoda!AF58,"")</f>
        <v/>
      </c>
      <c r="E58" s="43" t="str">
        <f>+IF(OR('CalculoFoda-1'!F58=1,'CalculoFoda-1'!G58=1),CalculosFoda!AF58,"")</f>
        <v>Gestión ambiental y de residuos</v>
      </c>
    </row>
    <row r="59" spans="2:5" x14ac:dyDescent="0.25">
      <c r="C59" s="43" t="s">
        <v>449</v>
      </c>
      <c r="D59" s="43" t="str">
        <f>+IF(OR('CalculoFoda-1'!H59=1,'CalculoFoda-1'!I59=1),CalculosFoda!AF59,"")</f>
        <v/>
      </c>
      <c r="E59" s="43" t="str">
        <f>+IF(OR('CalculoFoda-1'!F59=1,'CalculoFoda-1'!G59=1),CalculosFoda!AF59,"")</f>
        <v>Seguridad e higiene laboral</v>
      </c>
    </row>
    <row r="62" spans="2:5" x14ac:dyDescent="0.25">
      <c r="B62" s="12" t="str">
        <f>+FormularioFODA!B65</f>
        <v>Socios Clave</v>
      </c>
      <c r="C62" s="43" t="s">
        <v>453</v>
      </c>
      <c r="D62" s="43" t="str">
        <f>+IF(OR('CalculoFoda-1'!H62=1,'CalculoFoda-1'!I62=1),CalculosFoda!AF62,"")</f>
        <v>Proveedores estratégicos</v>
      </c>
      <c r="E62" s="43" t="str">
        <f>+IF(OR('CalculoFoda-1'!F62=1,'CalculoFoda-1'!G62=1),CalculosFoda!AF62,"")</f>
        <v/>
      </c>
    </row>
    <row r="63" spans="2:5" x14ac:dyDescent="0.25">
      <c r="C63" s="43" t="s">
        <v>458</v>
      </c>
      <c r="D63" s="43" t="str">
        <f>+IF(OR('CalculoFoda-1'!H63=1,'CalculoFoda-1'!I63=1),CalculosFoda!AF63,"")</f>
        <v/>
      </c>
      <c r="E63" s="43" t="str">
        <f>+IF(OR('CalculoFoda-1'!F63=1,'CalculoFoda-1'!G63=1),CalculosFoda!AF63,"")</f>
        <v>Alianzas comerciales</v>
      </c>
    </row>
    <row r="64" spans="2:5" x14ac:dyDescent="0.25">
      <c r="C64" s="43" t="s">
        <v>462</v>
      </c>
      <c r="D64" s="43" t="str">
        <f>+IF(OR('CalculoFoda-1'!H64=1,'CalculoFoda-1'!I64=1),CalculosFoda!AF64,"")</f>
        <v/>
      </c>
      <c r="E64" s="43" t="str">
        <f>+IF(OR('CalculoFoda-1'!F64=1,'CalculoFoda-1'!G64=1),CalculosFoda!AF64,"")</f>
        <v>Socios logísticos y aduaneros</v>
      </c>
    </row>
    <row r="65" spans="2:5" x14ac:dyDescent="0.25">
      <c r="C65" s="43" t="s">
        <v>466</v>
      </c>
      <c r="D65" s="43" t="str">
        <f>+IF(OR('CalculoFoda-1'!H65=1,'CalculoFoda-1'!I65=1),CalculosFoda!AF65,"")</f>
        <v>Apoyo institucional</v>
      </c>
      <c r="E65" s="43" t="str">
        <f>+IF(OR('CalculoFoda-1'!F65=1,'CalculoFoda-1'!G65=1),CalculosFoda!AF65,"")</f>
        <v/>
      </c>
    </row>
    <row r="66" spans="2:5" x14ac:dyDescent="0.25">
      <c r="C66" s="43" t="s">
        <v>470</v>
      </c>
      <c r="D66" s="43" t="str">
        <f>+IF(OR('CalculoFoda-1'!H66=1,'CalculoFoda-1'!I66=1),CalculosFoda!AF66,"")</f>
        <v/>
      </c>
      <c r="E66" s="43" t="str">
        <f>+IF(OR('CalculoFoda-1'!F66=1,'CalculoFoda-1'!G66=1),CalculosFoda!AF66,"")</f>
        <v>Socios financieros y de seguros</v>
      </c>
    </row>
    <row r="67" spans="2:5" x14ac:dyDescent="0.25">
      <c r="C67" s="43" t="s">
        <v>474</v>
      </c>
      <c r="D67" s="43" t="str">
        <f>+IF(OR('CalculoFoda-1'!H67=1,'CalculoFoda-1'!I67=1),CalculosFoda!AF67,"")</f>
        <v>Tercerización y subcontratación</v>
      </c>
      <c r="E67" s="43" t="str">
        <f>+IF(OR('CalculoFoda-1'!F67=1,'CalculoFoda-1'!G67=1),CalculosFoda!AF67,"")</f>
        <v/>
      </c>
    </row>
    <row r="70" spans="2:5" x14ac:dyDescent="0.25">
      <c r="B70" s="12" t="str">
        <f>+FormularioFODA!B73</f>
        <v>Estructura de Costos</v>
      </c>
      <c r="C70" s="43" t="s">
        <v>478</v>
      </c>
      <c r="D70" s="43" t="str">
        <f>+IF(OR('CalculoFoda-1'!H70=1,'CalculoFoda-1'!I70=1),CalculosFoda!AF70,"")</f>
        <v>Costos fijos</v>
      </c>
      <c r="E70" s="43" t="str">
        <f>+IF(OR('CalculoFoda-1'!F70=1,'CalculoFoda-1'!G70=1),CalculosFoda!AF70,"")</f>
        <v/>
      </c>
    </row>
    <row r="71" spans="2:5" x14ac:dyDescent="0.25">
      <c r="C71" s="43" t="s">
        <v>483</v>
      </c>
      <c r="D71" s="43" t="str">
        <f>+IF(OR('CalculoFoda-1'!H71=1,'CalculoFoda-1'!I71=1),CalculosFoda!AF71,"")</f>
        <v/>
      </c>
      <c r="E71" s="43" t="str">
        <f>+IF(OR('CalculoFoda-1'!F71=1,'CalculoFoda-1'!G71=1),CalculosFoda!AF71,"")</f>
        <v/>
      </c>
    </row>
    <row r="72" spans="2:5" x14ac:dyDescent="0.25">
      <c r="C72" s="43" t="s">
        <v>487</v>
      </c>
      <c r="D72" s="43" t="str">
        <f>+IF(OR('CalculoFoda-1'!H72=1,'CalculoFoda-1'!I72=1),CalculosFoda!AF72,"")</f>
        <v>Sistema de costos de exportación</v>
      </c>
      <c r="E72" s="43" t="str">
        <f>+IF(OR('CalculoFoda-1'!F72=1,'CalculoFoda-1'!G72=1),CalculosFoda!AF72,"")</f>
        <v/>
      </c>
    </row>
    <row r="73" spans="2:5" x14ac:dyDescent="0.25">
      <c r="C73" s="43" t="s">
        <v>491</v>
      </c>
      <c r="D73" s="43" t="str">
        <f>+IF(OR('CalculoFoda-1'!H73=1,'CalculoFoda-1'!I73=1),CalculosFoda!AF73,"")</f>
        <v/>
      </c>
      <c r="E73" s="43" t="str">
        <f>+IF(OR('CalculoFoda-1'!F73=1,'CalculoFoda-1'!G73=1),CalculosFoda!AF73,"")</f>
        <v>Costo de materias primas</v>
      </c>
    </row>
    <row r="74" spans="2:5" x14ac:dyDescent="0.25">
      <c r="C74" s="43" t="s">
        <v>495</v>
      </c>
      <c r="D74" s="43" t="str">
        <f>+IF(OR('CalculoFoda-1'!H74=1,'CalculoFoda-1'!I74=1),CalculosFoda!AF74,"")</f>
        <v/>
      </c>
      <c r="E74" s="43" t="str">
        <f>+IF(OR('CalculoFoda-1'!F74=1,'CalculoFoda-1'!G74=1),CalculosFoda!AF74,"")</f>
        <v>Costos logísticos y de comercio exterior</v>
      </c>
    </row>
    <row r="75" spans="2:5" x14ac:dyDescent="0.25">
      <c r="C75" s="43" t="s">
        <v>499</v>
      </c>
      <c r="D75" s="43" t="str">
        <f>+IF(OR('CalculoFoda-1'!H75=1,'CalculoFoda-1'!I75=1),CalculosFoda!AF75,"")</f>
        <v>Endeudamiento</v>
      </c>
      <c r="E75" s="43" t="str">
        <f>+IF(OR('CalculoFoda-1'!F75=1,'CalculoFoda-1'!G75=1),CalculosFoda!AF75,"")</f>
        <v/>
      </c>
    </row>
    <row r="78" spans="2:5" x14ac:dyDescent="0.25">
      <c r="B78" s="12" t="str">
        <f>+FormularioFODA!B82</f>
        <v>Gestión y Compromiso Exportador</v>
      </c>
      <c r="C78" s="43" t="s">
        <v>503</v>
      </c>
      <c r="D78" s="43" t="str">
        <f>+IF(OR('CalculoFoda-1'!H78=1,'CalculoFoda-1'!I78=1),CalculosFoda!AF78,"")</f>
        <v/>
      </c>
      <c r="E78" s="43" t="str">
        <f>+IF(OR('CalculoFoda-1'!F78=1,'CalculoFoda-1'!G78=1),CalculosFoda!AF78,"")</f>
        <v>Estrategia y objetivos de largo plazo</v>
      </c>
    </row>
    <row r="79" spans="2:5" x14ac:dyDescent="0.25">
      <c r="C79" s="43" t="s">
        <v>508</v>
      </c>
      <c r="D79" s="43" t="str">
        <f>+IF(OR('CalculoFoda-1'!H79=1,'CalculoFoda-1'!I79=1),CalculosFoda!AF79,"")</f>
        <v/>
      </c>
      <c r="E79" s="43" t="str">
        <f>+IF(OR('CalculoFoda-1'!F79=1,'CalculoFoda-1'!G79=1),CalculosFoda!AF79,"")</f>
        <v>Compromiso de la dirección</v>
      </c>
    </row>
    <row r="80" spans="2:5" x14ac:dyDescent="0.25">
      <c r="C80" s="43" t="s">
        <v>512</v>
      </c>
      <c r="D80" s="43" t="str">
        <f>+IF(OR('CalculoFoda-1'!H80=1,'CalculoFoda-1'!I80=1),CalculosFoda!AF80,"")</f>
        <v/>
      </c>
      <c r="E80" s="43" t="str">
        <f>+IF(OR('CalculoFoda-1'!F80=1,'CalculoFoda-1'!G80=1),CalculosFoda!AF80,"")</f>
        <v>Estructura y responsable de comercio exterior</v>
      </c>
    </row>
    <row r="81" spans="2:5" x14ac:dyDescent="0.25">
      <c r="C81" s="43" t="s">
        <v>516</v>
      </c>
      <c r="D81" s="43" t="str">
        <f>+IF(OR('CalculoFoda-1'!H81=1,'CalculoFoda-1'!I81=1),CalculosFoda!AF81,"")</f>
        <v>Conocimiento de la competencia internacional</v>
      </c>
      <c r="E81" s="43" t="str">
        <f>+IF(OR('CalculoFoda-1'!F81=1,'CalculoFoda-1'!G81=1),CalculosFoda!AF81,"")</f>
        <v/>
      </c>
    </row>
    <row r="82" spans="2:5" x14ac:dyDescent="0.25">
      <c r="C82" s="43" t="s">
        <v>520</v>
      </c>
      <c r="D82" s="43" t="str">
        <f>+IF(OR('CalculoFoda-1'!H82=1,'CalculoFoda-1'!I82=1),CalculosFoda!AF82,"")</f>
        <v/>
      </c>
      <c r="E82" s="43" t="str">
        <f>+IF(OR('CalculoFoda-1'!F82=1,'CalculoFoda-1'!G82=1),CalculosFoda!AF82,"")</f>
        <v>Capacidad de anticipación a los cambios</v>
      </c>
    </row>
    <row r="83" spans="2:5" x14ac:dyDescent="0.25">
      <c r="C83" s="43" t="s">
        <v>524</v>
      </c>
      <c r="D83" s="43" t="str">
        <f>+IF(OR('CalculoFoda-1'!H83=1,'CalculoFoda-1'!I83=1),CalculosFoda!AF83,"")</f>
        <v/>
      </c>
      <c r="E83" s="43" t="str">
        <f>+IF(OR('CalculoFoda-1'!F83=1,'CalculoFoda-1'!G83=1),CalculosFoda!AF83,"")</f>
        <v>Cultura empresarial y estilo de dirección</v>
      </c>
    </row>
    <row r="84" spans="2:5" x14ac:dyDescent="0.25">
      <c r="C84" s="43" t="s">
        <v>528</v>
      </c>
      <c r="D84" s="43" t="str">
        <f>+IF(OR('CalculoFoda-1'!H84=1,'CalculoFoda-1'!I84=1),CalculosFoda!AF84,"")</f>
        <v/>
      </c>
      <c r="E84" s="43" t="str">
        <f>+IF(OR('CalculoFoda-1'!F84=1,'CalculoFoda-1'!G84=1),CalculosFoda!AF84,"")</f>
        <v/>
      </c>
    </row>
    <row r="86" spans="2:5" x14ac:dyDescent="0.25">
      <c r="B86" s="42" t="s">
        <v>182</v>
      </c>
      <c r="C86" s="42"/>
      <c r="D86" s="42" t="s">
        <v>757</v>
      </c>
      <c r="E86" s="42" t="s">
        <v>758</v>
      </c>
    </row>
    <row r="87" spans="2:5" x14ac:dyDescent="0.25">
      <c r="B87" s="12" t="str">
        <f>+FormularioFODA!B92</f>
        <v>Ámbito Político/Legal y Regulatorio</v>
      </c>
      <c r="C87" s="43" t="s">
        <v>532</v>
      </c>
      <c r="D87" s="43" t="str">
        <f>+IF(OR('CalculoFoda-1'!H87=1,'CalculoFoda-1'!I87=1),CalculosFoda!AF87,"")</f>
        <v/>
      </c>
      <c r="E87" s="43" t="str">
        <f>+IF(OR('CalculoFoda-1'!F87=1,'CalculoFoda-1'!G87=1),CalculosFoda!AF87,"")</f>
        <v>Política de comercio exterior</v>
      </c>
    </row>
    <row r="88" spans="2:5" x14ac:dyDescent="0.25">
      <c r="C88" s="43" t="s">
        <v>538</v>
      </c>
      <c r="D88" s="43" t="str">
        <f>+IF(OR('CalculoFoda-1'!H88=1,'CalculoFoda-1'!I88=1),CalculosFoda!AF88,"")</f>
        <v/>
      </c>
      <c r="E88" s="43" t="str">
        <f>+IF(OR('CalculoFoda-1'!F88=1,'CalculoFoda-1'!G88=1),CalculosFoda!AF88,"")</f>
        <v>Acuerdos comerciales y preferencias arancelarias</v>
      </c>
    </row>
    <row r="89" spans="2:5" x14ac:dyDescent="0.25">
      <c r="C89" s="43" t="s">
        <v>542</v>
      </c>
      <c r="D89" s="43" t="str">
        <f>+IF(OR('CalculoFoda-1'!H89=1,'CalculoFoda-1'!I89=1),CalculosFoda!AF89,"")</f>
        <v>Barreras arancelarias y técnicas del destino</v>
      </c>
      <c r="E89" s="43" t="str">
        <f>+IF(OR('CalculoFoda-1'!F89=1,'CalculoFoda-1'!G89=1),CalculosFoda!AF89,"")</f>
        <v/>
      </c>
    </row>
    <row r="90" spans="2:5" x14ac:dyDescent="0.25">
      <c r="C90" s="43" t="s">
        <v>546</v>
      </c>
      <c r="D90" s="43" t="str">
        <f>+IF(OR('CalculoFoda-1'!H90=1,'CalculoFoda-1'!I90=1),CalculosFoda!AF90,"")</f>
        <v/>
      </c>
      <c r="E90" s="43" t="str">
        <f>+IF(OR('CalculoFoda-1'!F90=1,'CalculoFoda-1'!G90=1),CalculosFoda!AF90,"")</f>
        <v>Trámites y aduana</v>
      </c>
    </row>
    <row r="91" spans="2:5" x14ac:dyDescent="0.25">
      <c r="C91" s="43" t="s">
        <v>550</v>
      </c>
      <c r="D91" s="43" t="str">
        <f>+IF(OR('CalculoFoda-1'!H91=1,'CalculoFoda-1'!I91=1),CalculosFoda!AF91,"")</f>
        <v/>
      </c>
      <c r="E91" s="43" t="str">
        <f>+IF(OR('CalculoFoda-1'!F91=1,'CalculoFoda-1'!G91=1),CalculosFoda!AF91,"")</f>
        <v>Promoción y fomento a exportadores</v>
      </c>
    </row>
    <row r="92" spans="2:5" x14ac:dyDescent="0.25">
      <c r="C92" s="43" t="s">
        <v>554</v>
      </c>
      <c r="D92" s="43" t="str">
        <f>+IF(OR('CalculoFoda-1'!H92=1,'CalculoFoda-1'!I92=1),CalculosFoda!AF92,"")</f>
        <v>Propiedad intelectual y seguridad jurídica</v>
      </c>
      <c r="E92" s="43" t="str">
        <f>+IF(OR('CalculoFoda-1'!F92=1,'CalculoFoda-1'!G92=1),CalculosFoda!AF92,"")</f>
        <v/>
      </c>
    </row>
    <row r="95" spans="2:5" x14ac:dyDescent="0.25">
      <c r="B95" s="12" t="str">
        <f>+FormularioFODA!B100</f>
        <v>Ámbito Económico/Financiero/Cambiario</v>
      </c>
      <c r="C95" s="43" t="s">
        <v>558</v>
      </c>
      <c r="D95" s="43" t="str">
        <f>+IF(OR('CalculoFoda-1'!H95=1,'CalculoFoda-1'!I95=1),CalculosFoda!AF95,"")</f>
        <v/>
      </c>
      <c r="E95" s="43" t="str">
        <f>+IF(OR('CalculoFoda-1'!F95=1,'CalculoFoda-1'!G95=1),CalculosFoda!AF95,"")</f>
        <v>Crecimiento económico y ciclo</v>
      </c>
    </row>
    <row r="96" spans="2:5" x14ac:dyDescent="0.25">
      <c r="C96" s="43" t="s">
        <v>563</v>
      </c>
      <c r="D96" s="43" t="str">
        <f>+IF(OR('CalculoFoda-1'!H96=1,'CalculoFoda-1'!I96=1),CalculosFoda!AF96,"")</f>
        <v/>
      </c>
      <c r="E96" s="43" t="str">
        <f>+IF(OR('CalculoFoda-1'!F96=1,'CalculoFoda-1'!G96=1),CalculosFoda!AF96,"")</f>
        <v>Crecimiento sectorial del rubro</v>
      </c>
    </row>
    <row r="97" spans="2:5" x14ac:dyDescent="0.25">
      <c r="C97" s="43" t="s">
        <v>567</v>
      </c>
      <c r="D97" s="43" t="str">
        <f>+IF(OR('CalculoFoda-1'!H97=1,'CalculoFoda-1'!I97=1),CalculosFoda!AF97,"")</f>
        <v/>
      </c>
      <c r="E97" s="43" t="str">
        <f>+IF(OR('CalculoFoda-1'!F97=1,'CalculoFoda-1'!G97=1),CalculosFoda!AF97,"")</f>
        <v>Tipo de cambio y competitividad</v>
      </c>
    </row>
    <row r="98" spans="2:5" x14ac:dyDescent="0.25">
      <c r="C98" s="43" t="s">
        <v>571</v>
      </c>
      <c r="D98" s="43" t="str">
        <f>+IF(OR('CalculoFoda-1'!H98=1,'CalculoFoda-1'!I98=1),CalculosFoda!AF98,"")</f>
        <v/>
      </c>
      <c r="E98" s="43" t="str">
        <f>+IF(OR('CalculoFoda-1'!F98=1,'CalculoFoda-1'!G98=1),CalculosFoda!AF98,"")</f>
        <v/>
      </c>
    </row>
    <row r="99" spans="2:5" x14ac:dyDescent="0.25">
      <c r="C99" s="43" t="s">
        <v>575</v>
      </c>
      <c r="D99" s="43" t="str">
        <f>+IF(OR('CalculoFoda-1'!H99=1,'CalculoFoda-1'!I99=1),CalculosFoda!AF99,"")</f>
        <v/>
      </c>
      <c r="E99" s="43" t="str">
        <f>+IF(OR('CalculoFoda-1'!F99=1,'CalculoFoda-1'!G99=1),CalculosFoda!AF99,"")</f>
        <v>Financiamiento y crédito para exportar</v>
      </c>
    </row>
    <row r="100" spans="2:5" x14ac:dyDescent="0.25">
      <c r="C100" s="43" t="s">
        <v>579</v>
      </c>
      <c r="D100" s="43" t="str">
        <f>+IF(OR('CalculoFoda-1'!H100=1,'CalculoFoda-1'!I100=1),CalculosFoda!AF100,"")</f>
        <v/>
      </c>
      <c r="E100" s="43" t="str">
        <f>+IF(OR('CalculoFoda-1'!F100=1,'CalculoFoda-1'!G100=1),CalculosFoda!AF100,"")</f>
        <v>Cobros y acceso a divisas</v>
      </c>
    </row>
    <row r="101" spans="2:5" x14ac:dyDescent="0.25">
      <c r="C101" s="43" t="s">
        <v>583</v>
      </c>
      <c r="D101" s="43" t="str">
        <f>+IF(OR('CalculoFoda-1'!H101=1,'CalculoFoda-1'!I101=1),CalculosFoda!AF101,"")</f>
        <v>Impuestos, derechos de exportación y reintegros</v>
      </c>
      <c r="E101" s="43" t="str">
        <f>+IF(OR('CalculoFoda-1'!F101=1,'CalculoFoda-1'!G101=1),CalculosFoda!AF101,"")</f>
        <v/>
      </c>
    </row>
    <row r="102" spans="2:5" x14ac:dyDescent="0.25">
      <c r="C102" s="43" t="s">
        <v>587</v>
      </c>
      <c r="D102" s="43" t="str">
        <f>+IF(OR('CalculoFoda-1'!H102=1,'CalculoFoda-1'!I102=1),CalculosFoda!AF102,"")</f>
        <v>Precios internacionales del producto</v>
      </c>
      <c r="E102" s="43" t="str">
        <f>+IF(OR('CalculoFoda-1'!F102=1,'CalculoFoda-1'!G102=1),CalculosFoda!AF102,"")</f>
        <v/>
      </c>
    </row>
    <row r="105" spans="2:5" x14ac:dyDescent="0.25">
      <c r="B105" s="12" t="str">
        <f>+FormularioFODA!B110</f>
        <v>Ámbito Sociocultural</v>
      </c>
      <c r="C105" s="43" t="s">
        <v>591</v>
      </c>
      <c r="D105" s="43" t="str">
        <f>+IF(OR('CalculoFoda-1'!H105=1,'CalculoFoda-1'!I105=1),CalculosFoda!AF105,"")</f>
        <v/>
      </c>
      <c r="E105" s="43" t="str">
        <f>+IF(OR('CalculoFoda-1'!F105=1,'CalculoFoda-1'!G105=1),CalculosFoda!AF105,"")</f>
        <v>Afinidad cultural y hábitos de consumo</v>
      </c>
    </row>
    <row r="106" spans="2:5" x14ac:dyDescent="0.25">
      <c r="C106" s="43" t="s">
        <v>596</v>
      </c>
      <c r="D106" s="43" t="str">
        <f>+IF(OR('CalculoFoda-1'!H106=1,'CalculoFoda-1'!I106=1),CalculosFoda!AF106,"")</f>
        <v>Idioma y cercanía cultural</v>
      </c>
      <c r="E106" s="43" t="str">
        <f>+IF(OR('CalculoFoda-1'!F106=1,'CalculoFoda-1'!G106=1),CalculosFoda!AF106,"")</f>
        <v/>
      </c>
    </row>
    <row r="107" spans="2:5" x14ac:dyDescent="0.25">
      <c r="C107" s="43" t="s">
        <v>600</v>
      </c>
      <c r="D107" s="43" t="str">
        <f>+IF(OR('CalculoFoda-1'!H107=1,'CalculoFoda-1'!I107=1),CalculosFoda!AF107,"")</f>
        <v/>
      </c>
      <c r="E107" s="43" t="str">
        <f>+IF(OR('CalculoFoda-1'!F107=1,'CalculoFoda-1'!G107=1),CalculosFoda!AF107,"")</f>
        <v>Valoración del origen y la sustentabilidad</v>
      </c>
    </row>
    <row r="108" spans="2:5" x14ac:dyDescent="0.25">
      <c r="C108" s="43" t="s">
        <v>604</v>
      </c>
      <c r="D108" s="43" t="str">
        <f>+IF(OR('CalculoFoda-1'!H108=1,'CalculoFoda-1'!I108=1),CalculosFoda!AF108,"")</f>
        <v>Formación técnica y mano de obra regional</v>
      </c>
      <c r="E108" s="43" t="str">
        <f>+IF(OR('CalculoFoda-1'!F108=1,'CalculoFoda-1'!G108=1),CalculosFoda!AF108,"")</f>
        <v/>
      </c>
    </row>
    <row r="109" spans="2:5" x14ac:dyDescent="0.25">
      <c r="C109" s="43" t="s">
        <v>608</v>
      </c>
      <c r="D109" s="43" t="str">
        <f>+IF(OR('CalculoFoda-1'!H109=1,'CalculoFoda-1'!I109=1),CalculosFoda!AF109,"")</f>
        <v>Asociativismo y cultura exportadora regional</v>
      </c>
      <c r="E109" s="43" t="str">
        <f>+IF(OR('CalculoFoda-1'!F109=1,'CalculoFoda-1'!G109=1),CalculosFoda!AF109,"")</f>
        <v/>
      </c>
    </row>
    <row r="112" spans="2:5" x14ac:dyDescent="0.25">
      <c r="B112" s="12" t="str">
        <f>+FormularioFODA!B117</f>
        <v>Ámbito Tecnológico y Digital</v>
      </c>
      <c r="C112" s="43" t="s">
        <v>612</v>
      </c>
      <c r="D112" s="43" t="str">
        <f>+IF(OR('CalculoFoda-1'!H112=1,'CalculoFoda-1'!I112=1),CalculosFoda!AF112,"")</f>
        <v/>
      </c>
      <c r="E112" s="43" t="str">
        <f>+IF(OR('CalculoFoda-1'!F112=1,'CalculoFoda-1'!G112=1),CalculosFoda!AF112,"")</f>
        <v>Avances tecnológicos del sector</v>
      </c>
    </row>
    <row r="113" spans="2:5" x14ac:dyDescent="0.25">
      <c r="C113" s="43" t="s">
        <v>617</v>
      </c>
      <c r="D113" s="43" t="str">
        <f>+IF(OR('CalculoFoda-1'!H113=1,'CalculoFoda-1'!I113=1),CalculosFoda!AF113,"")</f>
        <v/>
      </c>
      <c r="E113" s="43" t="str">
        <f>+IF(OR('CalculoFoda-1'!F113=1,'CalculoFoda-1'!G113=1),CalculosFoda!AF113,"")</f>
        <v>Conectividad y plataformas de comercio electrónico</v>
      </c>
    </row>
    <row r="114" spans="2:5" x14ac:dyDescent="0.25">
      <c r="C114" s="43" t="s">
        <v>621</v>
      </c>
      <c r="D114" s="43" t="str">
        <f>+IF(OR('CalculoFoda-1'!H114=1,'CalculoFoda-1'!I114=1),CalculosFoda!AF114,"")</f>
        <v/>
      </c>
      <c r="E114" s="43" t="str">
        <f>+IF(OR('CalculoFoda-1'!F114=1,'CalculoFoda-1'!G114=1),CalculosFoda!AF114,"")</f>
        <v>Digitalización del comercio exterior</v>
      </c>
    </row>
    <row r="115" spans="2:5" x14ac:dyDescent="0.25">
      <c r="C115" s="43" t="s">
        <v>625</v>
      </c>
      <c r="D115" s="43" t="str">
        <f>+IF(OR('CalculoFoda-1'!H115=1,'CalculoFoda-1'!I115=1),CalculosFoda!AF115,"")</f>
        <v/>
      </c>
      <c r="E115" s="43" t="str">
        <f>+IF(OR('CalculoFoda-1'!F115=1,'CalculoFoda-1'!G115=1),CalculosFoda!AF115,"")</f>
        <v>Trazabilidad y certificación digital</v>
      </c>
    </row>
    <row r="118" spans="2:5" x14ac:dyDescent="0.25">
      <c r="B118" s="12" t="str">
        <f>+FormularioFODA!B123</f>
        <v>Logística e Infraestructura Regional</v>
      </c>
      <c r="C118" s="43" t="s">
        <v>629</v>
      </c>
      <c r="D118" s="43" t="str">
        <f>+IF(OR('CalculoFoda-1'!H118=1,'CalculoFoda-1'!I118=1),CalculosFoda!AF118,"")</f>
        <v/>
      </c>
      <c r="E118" s="43" t="str">
        <f>+IF(OR('CalculoFoda-1'!F118=1,'CalculoFoda-1'!G118=1),CalculosFoda!AF118,"")</f>
        <v>Red vial y conectividad multimodal</v>
      </c>
    </row>
    <row r="119" spans="2:5" x14ac:dyDescent="0.25">
      <c r="C119" s="43" t="s">
        <v>634</v>
      </c>
      <c r="D119" s="43" t="str">
        <f>+IF(OR('CalculoFoda-1'!H119=1,'CalculoFoda-1'!I119=1),CalculosFoda!AF119,"")</f>
        <v/>
      </c>
      <c r="E119" s="43" t="str">
        <f>+IF(OR('CalculoFoda-1'!F119=1,'CalculoFoda-1'!G119=1),CalculosFoda!AF119,"")</f>
        <v>Pasos de frontera y puentes internacionales</v>
      </c>
    </row>
    <row r="120" spans="2:5" x14ac:dyDescent="0.25">
      <c r="C120" s="43" t="s">
        <v>638</v>
      </c>
      <c r="D120" s="43" t="str">
        <f>+IF(OR('CalculoFoda-1'!H120=1,'CalculoFoda-1'!I120=1),CalculosFoda!AF120,"")</f>
        <v/>
      </c>
      <c r="E120" s="43" t="str">
        <f>+IF(OR('CalculoFoda-1'!F120=1,'CalculoFoda-1'!G120=1),CalculosFoda!AF120,"")</f>
        <v>Puertos, hidrovía y salida a ultramar</v>
      </c>
    </row>
    <row r="121" spans="2:5" x14ac:dyDescent="0.25">
      <c r="C121" s="43" t="s">
        <v>642</v>
      </c>
      <c r="D121" s="43" t="str">
        <f>+IF(OR('CalculoFoda-1'!H121=1,'CalculoFoda-1'!I121=1),CalculosFoda!AF121,"")</f>
        <v/>
      </c>
      <c r="E121" s="43" t="str">
        <f>+IF(OR('CalculoFoda-1'!F121=1,'CalculoFoda-1'!G121=1),CalculosFoda!AF121,"")</f>
        <v/>
      </c>
    </row>
    <row r="122" spans="2:5" x14ac:dyDescent="0.25">
      <c r="C122" s="43" t="s">
        <v>646</v>
      </c>
      <c r="D122" s="43" t="str">
        <f>+IF(OR('CalculoFoda-1'!H122=1,'CalculoFoda-1'!I122=1),CalculosFoda!AF122,"")</f>
        <v/>
      </c>
      <c r="E122" s="43" t="str">
        <f>+IF(OR('CalculoFoda-1'!F122=1,'CalculoFoda-1'!G122=1),CalculosFoda!AF122,"")</f>
        <v>Servicios aduaneros locales</v>
      </c>
    </row>
    <row r="123" spans="2:5" x14ac:dyDescent="0.25">
      <c r="C123" s="43" t="s">
        <v>650</v>
      </c>
      <c r="D123" s="43" t="str">
        <f>+IF(OR('CalculoFoda-1'!H123=1,'CalculoFoda-1'!I123=1),CalculosFoda!AF123,"")</f>
        <v/>
      </c>
      <c r="E123" s="43" t="str">
        <f>+IF(OR('CalculoFoda-1'!F123=1,'CalculoFoda-1'!G123=1),CalculosFoda!AF123,"")</f>
        <v>Prestadores logísticos regionales</v>
      </c>
    </row>
    <row r="124" spans="2:5" x14ac:dyDescent="0.25">
      <c r="C124" s="43" t="s">
        <v>654</v>
      </c>
      <c r="D124" s="43" t="str">
        <f>+IF(OR('CalculoFoda-1'!H124=1,'CalculoFoda-1'!I124=1),CalculosFoda!AF124,"")</f>
        <v/>
      </c>
      <c r="E124" s="43" t="str">
        <f>+IF(OR('CalculoFoda-1'!F124=1,'CalculoFoda-1'!G124=1),CalculosFoda!AF124,"")</f>
        <v>Energía y servicios públicos industriales</v>
      </c>
    </row>
    <row r="127" spans="2:5" x14ac:dyDescent="0.25">
      <c r="B127" s="12" t="str">
        <f>+FormularioFODA!B132</f>
        <v>Mercado y Competencia</v>
      </c>
      <c r="C127" s="43" t="s">
        <v>658</v>
      </c>
      <c r="D127" s="43" t="str">
        <f>+IF(OR('CalculoFoda-1'!H127=1,'CalculoFoda-1'!I127=1),CalculosFoda!AF127,"")</f>
        <v/>
      </c>
      <c r="E127" s="43" t="str">
        <f>+IF(OR('CalculoFoda-1'!F127=1,'CalculoFoda-1'!G127=1),CalculosFoda!AF127,"")</f>
        <v/>
      </c>
    </row>
    <row r="128" spans="2:5" x14ac:dyDescent="0.25">
      <c r="C128" s="43" t="s">
        <v>663</v>
      </c>
      <c r="D128" s="43" t="str">
        <f>+IF(OR('CalculoFoda-1'!H128=1,'CalculoFoda-1'!I128=1),CalculosFoda!AF128,"")</f>
        <v/>
      </c>
      <c r="E128" s="43" t="str">
        <f>+IF(OR('CalculoFoda-1'!F128=1,'CalculoFoda-1'!G128=1),CalculosFoda!AF128,"")</f>
        <v>Costos de cambio de los clientes externos</v>
      </c>
    </row>
    <row r="129" spans="2:5" x14ac:dyDescent="0.25">
      <c r="C129" s="43" t="s">
        <v>667</v>
      </c>
      <c r="D129" s="43" t="str">
        <f>+IF(OR('CalculoFoda-1'!H129=1,'CalculoFoda-1'!I129=1),CalculosFoda!AF129,"")</f>
        <v/>
      </c>
      <c r="E129" s="43" t="str">
        <f>+IF(OR('CalculoFoda-1'!F129=1,'CalculoFoda-1'!G129=1),CalculosFoda!AF129,"")</f>
        <v>Tamaño y crecimiento del mercado destino</v>
      </c>
    </row>
    <row r="130" spans="2:5" x14ac:dyDescent="0.25">
      <c r="C130" s="43" t="s">
        <v>671</v>
      </c>
      <c r="D130" s="43" t="str">
        <f>+IF(OR('CalculoFoda-1'!H130=1,'CalculoFoda-1'!I130=1),CalculosFoda!AF130,"")</f>
        <v>Poder negociador de compradores e importadores</v>
      </c>
      <c r="E130" s="43" t="str">
        <f>+IF(OR('CalculoFoda-1'!F130=1,'CalculoFoda-1'!G130=1),CalculosFoda!AF130,"")</f>
        <v/>
      </c>
    </row>
    <row r="131" spans="2:5" x14ac:dyDescent="0.25">
      <c r="C131" s="43" t="s">
        <v>675</v>
      </c>
      <c r="D131" s="43" t="str">
        <f>+IF(OR('CalculoFoda-1'!H131=1,'CalculoFoda-1'!I131=1),CalculosFoda!AF131,"")</f>
        <v/>
      </c>
      <c r="E131" s="43" t="str">
        <f>+IF(OR('CalculoFoda-1'!F131=1,'CalculoFoda-1'!G131=1),CalculosFoda!AF131,"")</f>
        <v>Rivalidad y competidores internacionales</v>
      </c>
    </row>
    <row r="132" spans="2:5" x14ac:dyDescent="0.25">
      <c r="C132" s="43" t="s">
        <v>679</v>
      </c>
      <c r="D132" s="43" t="str">
        <f>+IF(OR('CalculoFoda-1'!H132=1,'CalculoFoda-1'!I132=1),CalculosFoda!AF132,"")</f>
        <v>Cambios del mercado e inteligencia comercial</v>
      </c>
      <c r="E132" s="43" t="str">
        <f>+IF(OR('CalculoFoda-1'!F132=1,'CalculoFoda-1'!G132=1),CalculosFoda!AF132,"")</f>
        <v/>
      </c>
    </row>
    <row r="135" spans="2:5" x14ac:dyDescent="0.25">
      <c r="B135" s="12" t="str">
        <f>+FormularioFODA!B140</f>
        <v>Proveedores</v>
      </c>
      <c r="C135" s="43" t="s">
        <v>683</v>
      </c>
      <c r="D135" s="43" t="str">
        <f>+IF(OR('CalculoFoda-1'!H135=1,'CalculoFoda-1'!I135=1),CalculosFoda!AF135,"")</f>
        <v>Cantidad de proveedores</v>
      </c>
      <c r="E135" s="43" t="str">
        <f>+IF(OR('CalculoFoda-1'!F135=1,'CalculoFoda-1'!G135=1),CalculosFoda!AF135,"")</f>
        <v/>
      </c>
    </row>
    <row r="136" spans="2:5" x14ac:dyDescent="0.25">
      <c r="C136" s="43" t="s">
        <v>688</v>
      </c>
      <c r="D136" s="43" t="str">
        <f>+IF(OR('CalculoFoda-1'!H136=1,'CalculoFoda-1'!I136=1),CalculosFoda!AF136,"")</f>
        <v/>
      </c>
      <c r="E136" s="43" t="str">
        <f>+IF(OR('CalculoFoda-1'!F136=1,'CalculoFoda-1'!G136=1),CalculosFoda!AF136,"")</f>
        <v>Calidad y cumplimiento de proveedores</v>
      </c>
    </row>
    <row r="137" spans="2:5" x14ac:dyDescent="0.25">
      <c r="C137" s="43" t="s">
        <v>692</v>
      </c>
      <c r="D137" s="43" t="str">
        <f>+IF(OR('CalculoFoda-1'!H137=1,'CalculoFoda-1'!I137=1),CalculosFoda!AF137,"")</f>
        <v/>
      </c>
      <c r="E137" s="43" t="str">
        <f>+IF(OR('CalculoFoda-1'!F137=1,'CalculoFoda-1'!G137=1),CalculosFoda!AF137,"")</f>
        <v>Poder negociador de los proveedores</v>
      </c>
    </row>
    <row r="138" spans="2:5" x14ac:dyDescent="0.25">
      <c r="C138" s="43" t="s">
        <v>696</v>
      </c>
      <c r="D138" s="43" t="str">
        <f>+IF(OR('CalculoFoda-1'!H138=1,'CalculoFoda-1'!I138=1),CalculosFoda!AF138,"")</f>
        <v>Disponibilidad y estacionalidad de materia prima</v>
      </c>
      <c r="E138" s="43" t="str">
        <f>+IF(OR('CalculoFoda-1'!F138=1,'CalculoFoda-1'!G138=1),CalculosFoda!AF138,"")</f>
        <v/>
      </c>
    </row>
    <row r="141" spans="2:5" x14ac:dyDescent="0.25">
      <c r="B141" s="12" t="str">
        <f>+FormularioFODA!B146</f>
        <v>Sustitutos de los Productos Ofrecidos</v>
      </c>
      <c r="C141" s="43" t="s">
        <v>700</v>
      </c>
      <c r="D141" s="43" t="str">
        <f>+IF(OR('CalculoFoda-1'!H141=1,'CalculoFoda-1'!I141=1),CalculosFoda!AF141,"")</f>
        <v>Costos de los sustitutos</v>
      </c>
      <c r="E141" s="43" t="str">
        <f>+IF(OR('CalculoFoda-1'!F141=1,'CalculoFoda-1'!G141=1),CalculosFoda!AF141,"")</f>
        <v/>
      </c>
    </row>
    <row r="142" spans="2:5" x14ac:dyDescent="0.25">
      <c r="C142" s="43" t="s">
        <v>705</v>
      </c>
      <c r="D142" s="43" t="str">
        <f>+IF(OR('CalculoFoda-1'!H142=1,'CalculoFoda-1'!I142=1),CalculosFoda!AF142,"")</f>
        <v/>
      </c>
      <c r="E142" s="43" t="str">
        <f>+IF(OR('CalculoFoda-1'!F142=1,'CalculoFoda-1'!G142=1),CalculosFoda!AF142,"")</f>
        <v>Cantidad y tendencia de sustitutos</v>
      </c>
    </row>
    <row r="145" spans="2:5" x14ac:dyDescent="0.25">
      <c r="B145" s="12" t="str">
        <f>+FormularioFODA!B150</f>
        <v>Ámbito Ambiental, Sanitario y Climático</v>
      </c>
      <c r="C145" s="43" t="s">
        <v>709</v>
      </c>
      <c r="D145" s="43" t="str">
        <f>+IF(OR('CalculoFoda-1'!H145=1,'CalculoFoda-1'!I145=1),CalculosFoda!AF145,"")</f>
        <v>Regulación ambiental y forestal</v>
      </c>
      <c r="E145" s="43" t="str">
        <f>+IF(OR('CalculoFoda-1'!F145=1,'CalculoFoda-1'!G145=1),CalculosFoda!AF145,"")</f>
        <v/>
      </c>
    </row>
    <row r="146" spans="2:5" x14ac:dyDescent="0.25">
      <c r="C146" s="43" t="s">
        <v>714</v>
      </c>
      <c r="D146" s="43" t="str">
        <f>+IF(OR('CalculoFoda-1'!H146=1,'CalculoFoda-1'!I146=1),CalculosFoda!AF146,"")</f>
        <v/>
      </c>
      <c r="E146" s="43" t="str">
        <f>+IF(OR('CalculoFoda-1'!F146=1,'CalculoFoda-1'!G146=1),CalculosFoda!AF146,"")</f>
        <v>Requisitos sanitarios y fitosanitarios del destino</v>
      </c>
    </row>
    <row r="147" spans="2:5" x14ac:dyDescent="0.25">
      <c r="C147" s="43" t="s">
        <v>718</v>
      </c>
      <c r="D147" s="43" t="str">
        <f>+IF(OR('CalculoFoda-1'!H147=1,'CalculoFoda-1'!I147=1),CalculosFoda!AF147,"")</f>
        <v>Certificaciones exigidas por los compradores</v>
      </c>
      <c r="E147" s="43" t="str">
        <f>+IF(OR('CalculoFoda-1'!F147=1,'CalculoFoda-1'!G147=1),CalculosFoda!AF147,"")</f>
        <v/>
      </c>
    </row>
    <row r="148" spans="2:5" x14ac:dyDescent="0.25">
      <c r="C148" s="43" t="s">
        <v>722</v>
      </c>
      <c r="D148" s="43" t="str">
        <f>+IF(OR('CalculoFoda-1'!H148=1,'CalculoFoda-1'!I148=1),CalculosFoda!AF148,"")</f>
        <v/>
      </c>
      <c r="E148" s="43" t="str">
        <f>+IF(OR('CalculoFoda-1'!F148=1,'CalculoFoda-1'!G148=1),CalculosFoda!AF148,"")</f>
        <v>Riesgo climático y de cosecha</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K30"/>
  <sheetViews>
    <sheetView showGridLines="0" topLeftCell="A37" zoomScaleNormal="100" workbookViewId="0"/>
  </sheetViews>
  <sheetFormatPr baseColWidth="10" defaultColWidth="8.7109375" defaultRowHeight="15" x14ac:dyDescent="0.25"/>
  <cols>
    <col min="1" max="1" width="2" customWidth="1"/>
    <col min="2" max="2" width="55.28515625" customWidth="1"/>
    <col min="3" max="7" width="10.140625" customWidth="1"/>
    <col min="8" max="8" width="2.85546875" customWidth="1"/>
  </cols>
  <sheetData>
    <row r="2" spans="2:7" ht="30" customHeight="1" x14ac:dyDescent="0.25">
      <c r="C2" s="44" t="s">
        <v>759</v>
      </c>
      <c r="D2" s="44" t="s">
        <v>760</v>
      </c>
      <c r="E2" s="44" t="s">
        <v>761</v>
      </c>
      <c r="F2" s="44" t="s">
        <v>762</v>
      </c>
      <c r="G2" s="44" t="s">
        <v>763</v>
      </c>
    </row>
    <row r="4" spans="2:7" x14ac:dyDescent="0.25">
      <c r="B4" s="45" t="s">
        <v>727</v>
      </c>
    </row>
    <row r="5" spans="2:7" x14ac:dyDescent="0.25">
      <c r="B5" s="4" t="str">
        <f>+FormularioFODA!B5</f>
        <v>Segmentos de Clientes</v>
      </c>
      <c r="C5" s="34">
        <v>1</v>
      </c>
      <c r="D5" s="34">
        <v>-1</v>
      </c>
      <c r="E5" s="46">
        <f>+'CalculoFoda-1'!X8</f>
        <v>8.8235294117647051E-2</v>
      </c>
      <c r="F5" s="32">
        <f>SUM('CalculoFoda-1'!H8:I8)</f>
        <v>3</v>
      </c>
      <c r="G5" s="32">
        <f>SUM('CalculoFoda-1'!F8:G8)</f>
        <v>2</v>
      </c>
    </row>
    <row r="6" spans="2:7" x14ac:dyDescent="0.25">
      <c r="B6" s="4" t="str">
        <f>+FormularioFODA!B12</f>
        <v>Propuesta de Valor</v>
      </c>
      <c r="C6" s="34">
        <v>1</v>
      </c>
      <c r="D6" s="34">
        <v>-1</v>
      </c>
      <c r="E6" s="46">
        <f>+'CalculoFoda-1'!X17</f>
        <v>2.1739130434782622E-2</v>
      </c>
      <c r="F6" s="32">
        <f>SUM('CalculoFoda-1'!H17:I17)</f>
        <v>3</v>
      </c>
      <c r="G6" s="32">
        <f>SUM('CalculoFoda-1'!F17:G17)</f>
        <v>4</v>
      </c>
    </row>
    <row r="7" spans="2:7" x14ac:dyDescent="0.25">
      <c r="B7" s="4" t="str">
        <f>+FormularioFODA!B21</f>
        <v>Canales</v>
      </c>
      <c r="C7" s="34">
        <v>1</v>
      </c>
      <c r="D7" s="34">
        <v>-1</v>
      </c>
      <c r="E7" s="46">
        <f>+'CalculoFoda-1'!X24</f>
        <v>-0.66666666666666663</v>
      </c>
      <c r="F7" s="32">
        <f>SUM('CalculoFoda-1'!H24:I24)</f>
        <v>1</v>
      </c>
      <c r="G7" s="32">
        <f>SUM('CalculoFoda-1'!F24:G24)</f>
        <v>4</v>
      </c>
    </row>
    <row r="8" spans="2:7" x14ac:dyDescent="0.25">
      <c r="B8" s="4" t="str">
        <f>+FormularioFODA!B28</f>
        <v>Relación con Clientes</v>
      </c>
      <c r="C8" s="34">
        <v>1</v>
      </c>
      <c r="D8" s="34">
        <v>-1</v>
      </c>
      <c r="E8" s="46">
        <f>+'CalculoFoda-1'!X31</f>
        <v>-0.35294117647058826</v>
      </c>
      <c r="F8" s="32">
        <f>SUM('CalculoFoda-1'!H31:I31)</f>
        <v>1</v>
      </c>
      <c r="G8" s="32">
        <f>SUM('CalculoFoda-1'!F31:G31)</f>
        <v>4</v>
      </c>
    </row>
    <row r="9" spans="2:7" x14ac:dyDescent="0.25">
      <c r="B9" s="4" t="str">
        <f>+FormularioFODA!B35</f>
        <v>Fuentes de Ingresos</v>
      </c>
      <c r="C9" s="34">
        <v>1</v>
      </c>
      <c r="D9" s="34">
        <v>-1</v>
      </c>
      <c r="E9" s="46">
        <f>+'CalculoFoda-1'!X39</f>
        <v>0.35294117647058826</v>
      </c>
      <c r="F9" s="32">
        <f>SUM('CalculoFoda-1'!H39:I39)</f>
        <v>4</v>
      </c>
      <c r="G9" s="32">
        <f>SUM('CalculoFoda-1'!F39:G39)</f>
        <v>1</v>
      </c>
    </row>
    <row r="10" spans="2:7" x14ac:dyDescent="0.25">
      <c r="B10" s="4" t="str">
        <f>+FormularioFODA!B44</f>
        <v>Recursos Clave</v>
      </c>
      <c r="C10" s="34">
        <v>1</v>
      </c>
      <c r="D10" s="34">
        <v>-1</v>
      </c>
      <c r="E10" s="46">
        <f>+'CalculoFoda-1'!X49</f>
        <v>7.6923076923076927E-2</v>
      </c>
      <c r="F10" s="32">
        <f>SUM('CalculoFoda-1'!H49:I49)</f>
        <v>5</v>
      </c>
      <c r="G10" s="32">
        <f>SUM('CalculoFoda-1'!F49:G49)</f>
        <v>3</v>
      </c>
    </row>
    <row r="11" spans="2:7" x14ac:dyDescent="0.25">
      <c r="B11" s="4" t="str">
        <f>+FormularioFODA!B54</f>
        <v>Actividades Clave</v>
      </c>
      <c r="C11" s="34">
        <v>1</v>
      </c>
      <c r="D11" s="34">
        <v>-1</v>
      </c>
      <c r="E11" s="46">
        <f>+'CalculoFoda-1'!X60</f>
        <v>-0.29629629629629628</v>
      </c>
      <c r="F11" s="32">
        <f>SUM('CalculoFoda-1'!H60:I60)</f>
        <v>3</v>
      </c>
      <c r="G11" s="32">
        <f>SUM('CalculoFoda-1'!F60:G60)</f>
        <v>6</v>
      </c>
    </row>
    <row r="12" spans="2:7" x14ac:dyDescent="0.25">
      <c r="B12" s="4" t="str">
        <f>+FormularioFODA!B65</f>
        <v>Socios Clave</v>
      </c>
      <c r="C12" s="34">
        <v>1</v>
      </c>
      <c r="D12" s="34">
        <v>-1</v>
      </c>
      <c r="E12" s="46">
        <f>+'CalculoFoda-1'!X68</f>
        <v>-4.7619047619047616E-2</v>
      </c>
      <c r="F12" s="32">
        <f>SUM('CalculoFoda-1'!H68:I68)</f>
        <v>3</v>
      </c>
      <c r="G12" s="32">
        <f>SUM('CalculoFoda-1'!F68:G68)</f>
        <v>3</v>
      </c>
    </row>
    <row r="13" spans="2:7" x14ac:dyDescent="0.25">
      <c r="B13" s="4" t="str">
        <f>+FormularioFODA!B73</f>
        <v>Estructura de Costos</v>
      </c>
      <c r="C13" s="34">
        <v>1</v>
      </c>
      <c r="D13" s="34">
        <v>-1</v>
      </c>
      <c r="E13" s="46">
        <f>+'CalculoFoda-1'!X76</f>
        <v>0.17499999999999999</v>
      </c>
      <c r="F13" s="32">
        <f>SUM('CalculoFoda-1'!H76:I76)</f>
        <v>3</v>
      </c>
      <c r="G13" s="32">
        <f>SUM('CalculoFoda-1'!F76:G76)</f>
        <v>2</v>
      </c>
    </row>
    <row r="14" spans="2:7" x14ac:dyDescent="0.25">
      <c r="B14" s="4" t="str">
        <f>+FormularioFODA!B82</f>
        <v>Gestión y Compromiso Exportador</v>
      </c>
      <c r="C14" s="34">
        <v>1</v>
      </c>
      <c r="D14" s="34">
        <v>-1</v>
      </c>
      <c r="E14" s="46">
        <f>+'CalculoFoda-1'!X85</f>
        <v>-0.54347826086956519</v>
      </c>
      <c r="F14" s="32">
        <f>SUM('CalculoFoda-1'!H85:I85)</f>
        <v>1</v>
      </c>
      <c r="G14" s="32">
        <f>SUM('CalculoFoda-1'!F85:G85)</f>
        <v>5</v>
      </c>
    </row>
    <row r="17" spans="2:11" x14ac:dyDescent="0.25">
      <c r="B17" s="45" t="s">
        <v>764</v>
      </c>
    </row>
    <row r="18" spans="2:11" x14ac:dyDescent="0.25">
      <c r="B18" s="4" t="str">
        <f>+FormularioFODA!B92</f>
        <v>Ámbito Político/Legal y Regulatorio</v>
      </c>
      <c r="C18" s="34">
        <v>1</v>
      </c>
      <c r="D18" s="34">
        <v>-1</v>
      </c>
      <c r="E18" s="46">
        <f>+'CalculoFoda-1'!X93</f>
        <v>-0.16666666666666663</v>
      </c>
      <c r="F18" s="32">
        <f>SUM('CalculoFoda-1'!H93:I93)</f>
        <v>2</v>
      </c>
      <c r="G18" s="32">
        <f>SUM('CalculoFoda-1'!F93:G93)</f>
        <v>4</v>
      </c>
    </row>
    <row r="19" spans="2:11" x14ac:dyDescent="0.25">
      <c r="B19" s="4" t="str">
        <f>+FormularioFODA!B100</f>
        <v>Ámbito Económico/Financiero/Cambiario</v>
      </c>
      <c r="C19" s="34">
        <v>1</v>
      </c>
      <c r="D19" s="34">
        <v>-1</v>
      </c>
      <c r="E19" s="46">
        <f>+'CalculoFoda-1'!X103</f>
        <v>-0.31818181818181818</v>
      </c>
      <c r="F19" s="32">
        <f>SUM('CalculoFoda-1'!H103:I103)</f>
        <v>2</v>
      </c>
      <c r="G19" s="32">
        <f>SUM('CalculoFoda-1'!F103:G103)</f>
        <v>5</v>
      </c>
    </row>
    <row r="20" spans="2:11" x14ac:dyDescent="0.25">
      <c r="B20" s="4" t="str">
        <f>+FormularioFODA!B110</f>
        <v>Ámbito Sociocultural</v>
      </c>
      <c r="C20" s="34">
        <v>1</v>
      </c>
      <c r="D20" s="34">
        <v>-1</v>
      </c>
      <c r="E20" s="46">
        <f>+'CalculoFoda-1'!X110</f>
        <v>0.46153846153846156</v>
      </c>
      <c r="F20" s="32">
        <f>SUM('CalculoFoda-1'!H110:I110)</f>
        <v>3</v>
      </c>
      <c r="G20" s="32">
        <f>SUM('CalculoFoda-1'!F110:G110)</f>
        <v>2</v>
      </c>
    </row>
    <row r="21" spans="2:11" x14ac:dyDescent="0.25">
      <c r="B21" s="4" t="str">
        <f>+FormularioFODA!B117</f>
        <v>Ámbito Tecnológico y Digital</v>
      </c>
      <c r="C21" s="34">
        <v>1</v>
      </c>
      <c r="D21" s="34">
        <v>-1</v>
      </c>
      <c r="E21" s="46">
        <f>+'CalculoFoda-1'!X116</f>
        <v>-0.63636363636363635</v>
      </c>
      <c r="F21" s="32">
        <f>SUM('CalculoFoda-1'!H116:I116)</f>
        <v>0</v>
      </c>
      <c r="G21" s="32">
        <f>SUM('CalculoFoda-1'!F116:G116)</f>
        <v>4</v>
      </c>
    </row>
    <row r="22" spans="2:11" x14ac:dyDescent="0.25">
      <c r="B22" s="4" t="str">
        <f>+FormularioFODA!B123</f>
        <v>Logística e Infraestructura Regional</v>
      </c>
      <c r="C22" s="34">
        <v>1</v>
      </c>
      <c r="D22" s="34">
        <v>-1</v>
      </c>
      <c r="E22" s="46">
        <f>+'CalculoFoda-1'!X125</f>
        <v>-0.45454545454545447</v>
      </c>
      <c r="F22" s="32">
        <f>SUM('CalculoFoda-1'!H125:I125)</f>
        <v>0</v>
      </c>
      <c r="G22" s="32">
        <f>SUM('CalculoFoda-1'!F125:G125)</f>
        <v>6</v>
      </c>
    </row>
    <row r="23" spans="2:11" x14ac:dyDescent="0.25">
      <c r="B23" s="4" t="str">
        <f>+FormularioFODA!B132</f>
        <v>Mercado y Competencia</v>
      </c>
      <c r="C23" s="34">
        <v>1</v>
      </c>
      <c r="D23" s="34">
        <v>-1</v>
      </c>
      <c r="E23" s="46">
        <f>+'CalculoFoda-1'!X133</f>
        <v>-0.14705882352941174</v>
      </c>
      <c r="F23" s="32">
        <f>SUM('CalculoFoda-1'!H133:I133)</f>
        <v>2</v>
      </c>
      <c r="G23" s="32">
        <f>SUM('CalculoFoda-1'!F133:G133)</f>
        <v>3</v>
      </c>
    </row>
    <row r="24" spans="2:11" x14ac:dyDescent="0.25">
      <c r="B24" s="4" t="str">
        <f>+FormularioFODA!B140</f>
        <v>Proveedores</v>
      </c>
      <c r="C24" s="34">
        <v>1</v>
      </c>
      <c r="D24" s="34">
        <v>-1</v>
      </c>
      <c r="E24" s="46">
        <f>+'CalculoFoda-1'!X139</f>
        <v>0</v>
      </c>
      <c r="F24" s="32">
        <f>SUM('CalculoFoda-1'!H139:I139)</f>
        <v>2</v>
      </c>
      <c r="G24" s="32">
        <f>SUM('CalculoFoda-1'!F139:G139)</f>
        <v>2</v>
      </c>
    </row>
    <row r="25" spans="2:11" x14ac:dyDescent="0.25">
      <c r="B25" s="4" t="str">
        <f>+FormularioFODA!B146</f>
        <v>Sustitutos de los Productos Ofrecidos</v>
      </c>
      <c r="C25" s="34">
        <v>1</v>
      </c>
      <c r="D25" s="34">
        <v>-1</v>
      </c>
      <c r="E25" s="46">
        <f>+'CalculoFoda-1'!X143</f>
        <v>-0.14285714285714285</v>
      </c>
      <c r="F25" s="32">
        <f>SUM('CalculoFoda-1'!H143:I143)</f>
        <v>1</v>
      </c>
      <c r="G25" s="32">
        <f>SUM('CalculoFoda-1'!F143:G143)</f>
        <v>1</v>
      </c>
    </row>
    <row r="26" spans="2:11" x14ac:dyDescent="0.25">
      <c r="B26" s="4" t="str">
        <f>+FormularioFODA!B150</f>
        <v>Ámbito Ambiental, Sanitario y Climático</v>
      </c>
      <c r="C26" s="34">
        <v>1</v>
      </c>
      <c r="D26" s="34">
        <v>-1</v>
      </c>
      <c r="E26" s="46">
        <f>+'CalculoFoda-1'!X149</f>
        <v>-0.24999999999999997</v>
      </c>
      <c r="F26" s="32">
        <f>SUM('CalculoFoda-1'!H149:I149)</f>
        <v>2</v>
      </c>
      <c r="G26" s="32">
        <f>SUM('CalculoFoda-1'!F149:G149)</f>
        <v>2</v>
      </c>
    </row>
    <row r="29" spans="2:11" x14ac:dyDescent="0.25">
      <c r="B29" s="12" t="s">
        <v>765</v>
      </c>
      <c r="K29" s="12" t="s">
        <v>766</v>
      </c>
    </row>
    <row r="30" spans="2:11" x14ac:dyDescent="0.25">
      <c r="B30" s="14" t="s">
        <v>767</v>
      </c>
    </row>
  </sheetData>
  <pageMargins left="0.75" right="0.75" top="1" bottom="1" header="0.511811023622047" footer="0.511811023622047"/>
  <pageSetup paperSize="9" fitToHeight="0" orientation="landscape"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AD47"/>
    <pageSetUpPr fitToPage="1"/>
  </sheetPr>
  <dimension ref="B1:F53"/>
  <sheetViews>
    <sheetView showGridLines="0" zoomScaleNormal="100" workbookViewId="0">
      <pane ySplit="2" topLeftCell="A3" activePane="bottomLeft" state="frozen"/>
      <selection pane="bottomLeft" activeCell="C11" sqref="C11"/>
    </sheetView>
  </sheetViews>
  <sheetFormatPr baseColWidth="10" defaultColWidth="8.7109375" defaultRowHeight="15" x14ac:dyDescent="0.25"/>
  <cols>
    <col min="1" max="1" width="2" customWidth="1"/>
    <col min="2" max="2" width="58" customWidth="1"/>
    <col min="3" max="3" width="22" customWidth="1"/>
    <col min="4" max="5" width="16" customWidth="1"/>
    <col min="6" max="6" width="20" customWidth="1"/>
  </cols>
  <sheetData>
    <row r="1" spans="2:6" ht="18" x14ac:dyDescent="0.25">
      <c r="B1" s="47" t="s">
        <v>768</v>
      </c>
    </row>
    <row r="2" spans="2:6" x14ac:dyDescent="0.25">
      <c r="B2" s="12" t="s">
        <v>769</v>
      </c>
    </row>
    <row r="3" spans="2:6" x14ac:dyDescent="0.25">
      <c r="B3" s="4" t="s">
        <v>770</v>
      </c>
      <c r="C3" s="83" t="s">
        <v>771</v>
      </c>
      <c r="D3" s="83"/>
      <c r="E3" s="83"/>
      <c r="F3" s="83"/>
    </row>
    <row r="4" spans="2:6" x14ac:dyDescent="0.25">
      <c r="B4" s="4" t="s">
        <v>772</v>
      </c>
      <c r="C4" s="79"/>
      <c r="D4" s="79"/>
      <c r="E4" s="79"/>
      <c r="F4" s="79"/>
    </row>
    <row r="5" spans="2:6" x14ac:dyDescent="0.25">
      <c r="B5" s="4" t="s">
        <v>773</v>
      </c>
      <c r="C5" s="79"/>
      <c r="D5" s="79"/>
      <c r="E5" s="79"/>
      <c r="F5" s="79"/>
    </row>
    <row r="6" spans="2:6" x14ac:dyDescent="0.25">
      <c r="B6" s="4" t="s">
        <v>774</v>
      </c>
      <c r="C6" s="79"/>
      <c r="D6" s="79"/>
      <c r="E6" s="79"/>
      <c r="F6" s="79"/>
    </row>
    <row r="7" spans="2:6" x14ac:dyDescent="0.25">
      <c r="B7" s="4" t="s">
        <v>775</v>
      </c>
      <c r="C7" s="79"/>
      <c r="D7" s="79"/>
      <c r="E7" s="79"/>
      <c r="F7" s="79"/>
    </row>
    <row r="8" spans="2:6" x14ac:dyDescent="0.25">
      <c r="B8" s="4" t="s">
        <v>776</v>
      </c>
      <c r="C8" s="79"/>
      <c r="D8" s="79"/>
      <c r="E8" s="79"/>
      <c r="F8" s="79"/>
    </row>
    <row r="9" spans="2:6" x14ac:dyDescent="0.25">
      <c r="B9" s="80" t="str">
        <f>IF(C8="No exporta - evalúa iniciar","Ver LEEME §8: quién responde cada bloque y cómo leer Situación/Impacto sin actividad exportadora.","")</f>
        <v/>
      </c>
      <c r="C9" s="80"/>
      <c r="D9" s="80"/>
      <c r="E9" s="80"/>
      <c r="F9" s="80"/>
    </row>
    <row r="10" spans="2:6" x14ac:dyDescent="0.25">
      <c r="B10" s="12" t="s">
        <v>777</v>
      </c>
    </row>
    <row r="11" spans="2:6" x14ac:dyDescent="0.25">
      <c r="B11" s="4" t="s">
        <v>778</v>
      </c>
      <c r="C11" s="48">
        <v>7</v>
      </c>
      <c r="D11" s="14" t="s">
        <v>779</v>
      </c>
    </row>
    <row r="12" spans="2:6" x14ac:dyDescent="0.25">
      <c r="B12" s="4" t="s">
        <v>780</v>
      </c>
      <c r="C12" s="48">
        <v>5</v>
      </c>
    </row>
    <row r="14" spans="2:6" ht="30" customHeight="1" x14ac:dyDescent="0.25">
      <c r="B14" s="49" t="s">
        <v>781</v>
      </c>
      <c r="C14" s="49" t="s">
        <v>782</v>
      </c>
      <c r="D14" s="49" t="s">
        <v>783</v>
      </c>
      <c r="E14" s="49" t="s">
        <v>784</v>
      </c>
      <c r="F14" s="49" t="s">
        <v>785</v>
      </c>
    </row>
    <row r="15" spans="2:6" x14ac:dyDescent="0.25">
      <c r="B15" s="50" t="str">
        <f>+FormularioFODA!B5</f>
        <v>Segmentos de Clientes</v>
      </c>
      <c r="C15" s="51">
        <f ca="1">+CalculosFoda!AE8</f>
        <v>6.1763705882352946</v>
      </c>
      <c r="D15" s="35" t="str">
        <f t="shared" ref="D15:D25" ca="1" si="0">IF(C15=0,"sin datos",IF(C15&gt;10,"Excelencia",IF(C15&gt;=8,"Bueno",IF(C15&gt;=5,"Regular","Alarmante"))))</f>
        <v>Regular</v>
      </c>
      <c r="E15" s="35" t="str">
        <f>COUNTIF(CalculosFoda!J3:J7,"&gt;0")&amp;" de 5"</f>
        <v>5 de 5</v>
      </c>
      <c r="F15" s="35">
        <f ca="1">COUNTIFS(CalculosFoda!AD3:AD7,"&lt;5",CalculosFoda!AD3:AD7,"&gt;0")</f>
        <v>2</v>
      </c>
    </row>
    <row r="16" spans="2:6" x14ac:dyDescent="0.25">
      <c r="B16" s="50" t="str">
        <f>+FormularioFODA!B12</f>
        <v>Propuesta de Valor</v>
      </c>
      <c r="C16" s="51">
        <f ca="1">+CalculosFoda!AE17</f>
        <v>6.5216239130434772</v>
      </c>
      <c r="D16" s="35" t="str">
        <f t="shared" ca="1" si="0"/>
        <v>Regular</v>
      </c>
      <c r="E16" s="35" t="str">
        <f>COUNTIF(CalculosFoda!J10:J16,"&gt;0")&amp;" de 7"</f>
        <v>7 de 7</v>
      </c>
      <c r="F16" s="35">
        <f ca="1">COUNTIFS(CalculosFoda!AD10:AD16,"&lt;5",CalculosFoda!AD10:AD16,"&gt;0")</f>
        <v>4</v>
      </c>
    </row>
    <row r="17" spans="2:6" x14ac:dyDescent="0.25">
      <c r="B17" s="50" t="str">
        <f>+FormularioFODA!B21</f>
        <v>Canales</v>
      </c>
      <c r="C17" s="51">
        <f ca="1">+CalculosFoda!AE24</f>
        <v>3.8887888888888886</v>
      </c>
      <c r="D17" s="35" t="str">
        <f t="shared" ca="1" si="0"/>
        <v>Alarmante</v>
      </c>
      <c r="E17" s="35" t="str">
        <f>COUNTIF(CalculosFoda!J19:J23,"&gt;0")&amp;" de 5"</f>
        <v>5 de 5</v>
      </c>
      <c r="F17" s="35">
        <f ca="1">COUNTIFS(CalculosFoda!AD19:AD23,"&lt;5",CalculosFoda!AD19:AD23,"&gt;0")</f>
        <v>4</v>
      </c>
    </row>
    <row r="18" spans="2:6" x14ac:dyDescent="0.25">
      <c r="B18" s="50" t="str">
        <f>+FormularioFODA!B28</f>
        <v>Relación con Clientes</v>
      </c>
      <c r="C18" s="51">
        <f ca="1">+CalculosFoda!AE31</f>
        <v>5.1175470588235292</v>
      </c>
      <c r="D18" s="35" t="str">
        <f t="shared" ca="1" si="0"/>
        <v>Regular</v>
      </c>
      <c r="E18" s="35" t="str">
        <f>COUNTIF(CalculosFoda!J26:J30,"&gt;0")&amp;" de 5"</f>
        <v>5 de 5</v>
      </c>
      <c r="F18" s="35">
        <f ca="1">COUNTIFS(CalculosFoda!AD26:AD30,"&lt;5",CalculosFoda!AD26:AD30,"&gt;0")</f>
        <v>4</v>
      </c>
    </row>
    <row r="19" spans="2:6" x14ac:dyDescent="0.25">
      <c r="B19" s="50" t="str">
        <f>+FormularioFODA!B35</f>
        <v>Fuentes de Ingresos</v>
      </c>
      <c r="C19" s="51">
        <f ca="1">+CalculosFoda!AE39</f>
        <v>5.8234382352941187</v>
      </c>
      <c r="D19" s="35" t="str">
        <f t="shared" ca="1" si="0"/>
        <v>Regular</v>
      </c>
      <c r="E19" s="35" t="str">
        <f>COUNTIF(CalculosFoda!J33:J38,"&gt;0")&amp;" de 6"</f>
        <v>6 de 6</v>
      </c>
      <c r="F19" s="35">
        <f ca="1">COUNTIFS(CalculosFoda!AD33:AD38,"&lt;5",CalculosFoda!AD33:AD38,"&gt;0")</f>
        <v>2</v>
      </c>
    </row>
    <row r="20" spans="2:6" x14ac:dyDescent="0.25">
      <c r="B20" s="50" t="str">
        <f>+FormularioFODA!B44</f>
        <v>Recursos Clave</v>
      </c>
      <c r="C20" s="51">
        <f ca="1">+CalculosFoda!AE49</f>
        <v>6.1537461538461544</v>
      </c>
      <c r="D20" s="35" t="str">
        <f t="shared" ca="1" si="0"/>
        <v>Regular</v>
      </c>
      <c r="E20" s="35" t="str">
        <f>COUNTIF(CalculosFoda!J41:J48,"&gt;0")&amp;" de 8"</f>
        <v>8 de 8</v>
      </c>
      <c r="F20" s="35">
        <f ca="1">COUNTIFS(CalculosFoda!AD41:AD48,"&lt;5",CalculosFoda!AD41:AD48,"&gt;0")</f>
        <v>3</v>
      </c>
    </row>
    <row r="21" spans="2:6" x14ac:dyDescent="0.25">
      <c r="B21" s="50" t="str">
        <f>+FormularioFODA!B54</f>
        <v>Actividades Clave</v>
      </c>
      <c r="C21" s="51">
        <f ca="1">+CalculosFoda!AE60</f>
        <v>5.2961962962962952</v>
      </c>
      <c r="D21" s="35" t="str">
        <f t="shared" ca="1" si="0"/>
        <v>Regular</v>
      </c>
      <c r="E21" s="35" t="str">
        <f>COUNTIF(CalculosFoda!J51:J59,"&gt;0")&amp;" de 9"</f>
        <v>9 de 9</v>
      </c>
      <c r="F21" s="35">
        <f ca="1">COUNTIFS(CalculosFoda!AD51:AD59,"&lt;5",CalculosFoda!AD51:AD59,"&gt;0")</f>
        <v>6</v>
      </c>
    </row>
    <row r="22" spans="2:6" x14ac:dyDescent="0.25">
      <c r="B22" s="50" t="str">
        <f>+FormularioFODA!B65</f>
        <v>Socios Clave</v>
      </c>
      <c r="C22" s="51">
        <f ca="1">+CalculosFoda!AE68</f>
        <v>6.1903595238095228</v>
      </c>
      <c r="D22" s="35" t="str">
        <f t="shared" ca="1" si="0"/>
        <v>Regular</v>
      </c>
      <c r="E22" s="35" t="str">
        <f>COUNTIF(CalculosFoda!J62:J67,"&gt;0")&amp;" de 6"</f>
        <v>6 de 6</v>
      </c>
      <c r="F22" s="35">
        <f ca="1">COUNTIFS(CalculosFoda!AD62:AD67,"&lt;5",CalculosFoda!AD62:AD67,"&gt;0")</f>
        <v>3</v>
      </c>
    </row>
    <row r="23" spans="2:6" x14ac:dyDescent="0.25">
      <c r="B23" s="50" t="str">
        <f>+FormularioFODA!B73</f>
        <v>Estructura de Costos</v>
      </c>
      <c r="C23" s="51">
        <f ca="1">+CalculosFoda!AE76</f>
        <v>5.6499025000000005</v>
      </c>
      <c r="D23" s="35" t="str">
        <f t="shared" ca="1" si="0"/>
        <v>Regular</v>
      </c>
      <c r="E23" s="35" t="str">
        <f>COUNTIF(CalculosFoda!J70:J75,"&gt;0")&amp;" de 6"</f>
        <v>6 de 6</v>
      </c>
      <c r="F23" s="35">
        <f ca="1">COUNTIFS(CalculosFoda!AD70:AD75,"&lt;5",CalculosFoda!AD70:AD75,"&gt;0")</f>
        <v>3</v>
      </c>
    </row>
    <row r="24" spans="2:6" x14ac:dyDescent="0.25">
      <c r="B24" s="50" t="str">
        <f>+FormularioFODA!B82</f>
        <v>Gestión y Compromiso Exportador</v>
      </c>
      <c r="C24" s="51">
        <f ca="1">+CalculosFoda!AE85</f>
        <v>3.7825152173913046</v>
      </c>
      <c r="D24" s="35" t="str">
        <f t="shared" ca="1" si="0"/>
        <v>Alarmante</v>
      </c>
      <c r="E24" s="35" t="str">
        <f>COUNTIF(CalculosFoda!J78:J84,"&gt;0")&amp;" de 7"</f>
        <v>7 de 7</v>
      </c>
      <c r="F24" s="35">
        <f ca="1">COUNTIFS(CalculosFoda!AD78:AD84,"&lt;5",CalculosFoda!AD78:AD84,"&gt;0")</f>
        <v>6</v>
      </c>
    </row>
    <row r="25" spans="2:6" x14ac:dyDescent="0.25">
      <c r="B25" s="52" t="s">
        <v>786</v>
      </c>
      <c r="C25" s="53">
        <f ca="1">IFERROR(AVERAGEIF(C15:C24,"&gt;0"),0)</f>
        <v>5.4600488375628595</v>
      </c>
      <c r="D25" s="54" t="str">
        <f t="shared" ca="1" si="0"/>
        <v>Regular</v>
      </c>
      <c r="E25" s="54"/>
      <c r="F25" s="54">
        <f ca="1">SUM(F15:F24)</f>
        <v>37</v>
      </c>
    </row>
    <row r="28" spans="2:6" ht="30" customHeight="1" x14ac:dyDescent="0.25">
      <c r="B28" s="49" t="s">
        <v>787</v>
      </c>
      <c r="C28" s="49" t="s">
        <v>782</v>
      </c>
      <c r="D28" s="49" t="s">
        <v>783</v>
      </c>
      <c r="E28" s="49" t="s">
        <v>784</v>
      </c>
      <c r="F28" s="49" t="s">
        <v>785</v>
      </c>
    </row>
    <row r="29" spans="2:6" x14ac:dyDescent="0.25">
      <c r="B29" s="50" t="str">
        <f>+FormularioFODA!B92</f>
        <v>Ámbito Político/Legal y Regulatorio</v>
      </c>
      <c r="C29" s="51">
        <f ca="1">+CalculosFoda!AE93</f>
        <v>5.5713285714285714</v>
      </c>
      <c r="D29" s="35" t="str">
        <f t="shared" ref="D29:D38" ca="1" si="1">IF(C29=0,"sin datos",IF(C29&gt;10,"Excelencia",IF(C29&gt;=8,"Bueno",IF(C29&gt;=5,"Regular","Alarmante"))))</f>
        <v>Regular</v>
      </c>
      <c r="E29" s="35" t="str">
        <f>COUNTIF(CalculosFoda!J87:J92,"&gt;0")&amp;" de 6"</f>
        <v>6 de 6</v>
      </c>
      <c r="F29" s="35">
        <f ca="1">COUNTIFS(CalculosFoda!AD87:AD92,"&lt;5",CalculosFoda!AD87:AD92,"&gt;0")</f>
        <v>4</v>
      </c>
    </row>
    <row r="30" spans="2:6" x14ac:dyDescent="0.25">
      <c r="B30" s="50" t="str">
        <f>+FormularioFODA!B100</f>
        <v>Ámbito Económico/Financiero/Cambiario</v>
      </c>
      <c r="C30" s="51">
        <f ca="1">+CalculosFoda!AE103</f>
        <v>4.4544522727272726</v>
      </c>
      <c r="D30" s="35" t="str">
        <f t="shared" ca="1" si="1"/>
        <v>Alarmante</v>
      </c>
      <c r="E30" s="35" t="str">
        <f>COUNTIF(CalculosFoda!J95:J102,"&gt;0")&amp;" de 8"</f>
        <v>8 de 8</v>
      </c>
      <c r="F30" s="35">
        <f ca="1">COUNTIFS(CalculosFoda!AD95:AD102,"&lt;5",CalculosFoda!AD95:AD102,"&gt;0")</f>
        <v>6</v>
      </c>
    </row>
    <row r="31" spans="2:6" x14ac:dyDescent="0.25">
      <c r="B31" s="50" t="str">
        <f>+FormularioFODA!B110</f>
        <v>Ámbito Sociocultural</v>
      </c>
      <c r="C31" s="51">
        <f ca="1">+CalculosFoda!AE110</f>
        <v>7.9998730769230768</v>
      </c>
      <c r="D31" s="35" t="str">
        <f t="shared" ca="1" si="1"/>
        <v>Regular</v>
      </c>
      <c r="E31" s="35" t="str">
        <f>COUNTIF(CalculosFoda!J105:J109,"&gt;0")&amp;" de 5"</f>
        <v>5 de 5</v>
      </c>
      <c r="F31" s="35">
        <f ca="1">COUNTIFS(CalculosFoda!AD105:AD109,"&lt;5",CalculosFoda!AD105:AD109,"&gt;0")</f>
        <v>2</v>
      </c>
    </row>
    <row r="32" spans="2:6" x14ac:dyDescent="0.25">
      <c r="B32" s="50" t="str">
        <f>+FormularioFODA!B117</f>
        <v>Ámbito Tecnológico y Digital</v>
      </c>
      <c r="C32" s="51">
        <f ca="1">+CalculosFoda!AE116</f>
        <v>4.4544454545454544</v>
      </c>
      <c r="D32" s="35" t="str">
        <f t="shared" ca="1" si="1"/>
        <v>Alarmante</v>
      </c>
      <c r="E32" s="35" t="str">
        <f>COUNTIF(CalculosFoda!J112:J115,"&gt;0")&amp;" de 4"</f>
        <v>4 de 4</v>
      </c>
      <c r="F32" s="35">
        <f ca="1">COUNTIFS(CalculosFoda!AD112:AD115,"&lt;5",CalculosFoda!AD112:AD115,"&gt;0")</f>
        <v>4</v>
      </c>
    </row>
    <row r="33" spans="2:6" x14ac:dyDescent="0.25">
      <c r="B33" s="50" t="str">
        <f>+FormularioFODA!B123</f>
        <v>Logística e Infraestructura Regional</v>
      </c>
      <c r="C33" s="51">
        <f ca="1">+CalculosFoda!AE125</f>
        <v>4.6362681818181821</v>
      </c>
      <c r="D33" s="35" t="str">
        <f t="shared" ca="1" si="1"/>
        <v>Alarmante</v>
      </c>
      <c r="E33" s="35" t="str">
        <f>COUNTIF(CalculosFoda!J118:J124,"&gt;0")&amp;" de 7"</f>
        <v>7 de 7</v>
      </c>
      <c r="F33" s="35">
        <f ca="1">COUNTIFS(CalculosFoda!AD118:AD124,"&lt;5",CalculosFoda!AD118:AD124,"&gt;0")</f>
        <v>7</v>
      </c>
    </row>
    <row r="34" spans="2:6" x14ac:dyDescent="0.25">
      <c r="B34" s="50" t="str">
        <f>+FormularioFODA!B132</f>
        <v>Mercado y Competencia</v>
      </c>
      <c r="C34" s="51">
        <f ca="1">+CalculosFoda!AE133</f>
        <v>5.11755294117647</v>
      </c>
      <c r="D34" s="35" t="str">
        <f t="shared" ca="1" si="1"/>
        <v>Regular</v>
      </c>
      <c r="E34" s="35" t="str">
        <f>COUNTIF(CalculosFoda!J127:J132,"&gt;0")&amp;" de 6"</f>
        <v>6 de 6</v>
      </c>
      <c r="F34" s="35">
        <f ca="1">COUNTIFS(CalculosFoda!AD127:AD132,"&lt;5",CalculosFoda!AD127:AD132,"&gt;0")</f>
        <v>4</v>
      </c>
    </row>
    <row r="35" spans="2:6" x14ac:dyDescent="0.25">
      <c r="B35" s="50" t="str">
        <f>+FormularioFODA!B140</f>
        <v>Proveedores</v>
      </c>
      <c r="C35" s="51">
        <f ca="1">+CalculosFoda!AE139</f>
        <v>5.9998999999999993</v>
      </c>
      <c r="D35" s="35" t="str">
        <f t="shared" ca="1" si="1"/>
        <v>Regular</v>
      </c>
      <c r="E35" s="35" t="str">
        <f>COUNTIF(CalculosFoda!J135:J138,"&gt;0")&amp;" de 4"</f>
        <v>4 de 4</v>
      </c>
      <c r="F35" s="35">
        <f ca="1">COUNTIFS(CalculosFoda!AD135:AD138,"&lt;5",CalculosFoda!AD135:AD138,"&gt;0")</f>
        <v>2</v>
      </c>
    </row>
    <row r="36" spans="2:6" x14ac:dyDescent="0.25">
      <c r="B36" s="50" t="str">
        <f>+FormularioFODA!B146</f>
        <v>Sustitutos de los Productos Ofrecidos</v>
      </c>
      <c r="C36" s="51">
        <f ca="1">+CalculosFoda!AE143</f>
        <v>5.999878571428571</v>
      </c>
      <c r="D36" s="35" t="str">
        <f t="shared" ca="1" si="1"/>
        <v>Regular</v>
      </c>
      <c r="E36" s="35" t="str">
        <f>COUNTIF(CalculosFoda!J141:J142,"&gt;0")&amp;" de 2"</f>
        <v>2 de 2</v>
      </c>
      <c r="F36" s="35">
        <f ca="1">COUNTIFS(CalculosFoda!AD141:AD142,"&lt;5",CalculosFoda!AD141:AD142,"&gt;0")</f>
        <v>1</v>
      </c>
    </row>
    <row r="37" spans="2:6" x14ac:dyDescent="0.25">
      <c r="B37" s="50" t="str">
        <f>+FormularioFODA!B150</f>
        <v>Ámbito Ambiental, Sanitario y Climático</v>
      </c>
      <c r="C37" s="51">
        <f ca="1">+CalculosFoda!AE149</f>
        <v>4.9998999999999993</v>
      </c>
      <c r="D37" s="35" t="str">
        <f t="shared" ca="1" si="1"/>
        <v>Alarmante</v>
      </c>
      <c r="E37" s="35" t="str">
        <f>COUNTIF(CalculosFoda!J145:J148,"&gt;0")&amp;" de 4"</f>
        <v>4 de 4</v>
      </c>
      <c r="F37" s="35">
        <f ca="1">COUNTIFS(CalculosFoda!AD145:AD148,"&lt;5",CalculosFoda!AD145:AD148,"&gt;0")</f>
        <v>2</v>
      </c>
    </row>
    <row r="38" spans="2:6" x14ac:dyDescent="0.25">
      <c r="B38" s="52" t="s">
        <v>786</v>
      </c>
      <c r="C38" s="53">
        <f ca="1">IFERROR(AVERAGEIF(C29:C37,"&gt;0"),0)</f>
        <v>5.470399896671954</v>
      </c>
      <c r="D38" s="54" t="str">
        <f t="shared" ca="1" si="1"/>
        <v>Regular</v>
      </c>
      <c r="E38" s="54"/>
      <c r="F38" s="54">
        <f ca="1">SUM(F29:F37)</f>
        <v>32</v>
      </c>
    </row>
    <row r="41" spans="2:6" x14ac:dyDescent="0.25">
      <c r="B41" s="12" t="s">
        <v>788</v>
      </c>
      <c r="C41" s="4" t="str">
        <f>COUNTIF(FormularioFODA!P4:P154,"OK")&amp;" de 110 filas completas"</f>
        <v>110 de 110 filas completas</v>
      </c>
    </row>
    <row r="42" spans="2:6" x14ac:dyDescent="0.25">
      <c r="C42" s="55" t="str">
        <f>IF(COUNTIF(FormularioFODA!P4:P154,"revisar")&gt;0,"Hay filas para revisar (más de una marca o falta un lado): ver columna Control del formulario","")</f>
        <v/>
      </c>
    </row>
    <row r="44" spans="2:6" ht="33.75" customHeight="1" x14ac:dyDescent="0.25">
      <c r="B44" s="15" t="s">
        <v>789</v>
      </c>
      <c r="C44" s="81" t="str">
        <f ca="1">IF(OR(C25=0,C38=0),"Datos incompletos: complete el FormularioFODA",IF(AND(C25&gt;=$C$11,C38&gt;=$C$11),"VIABLE: avanzar con el plan de exportación",IF(AND(C25&gt;=$C$12,C38&gt;=$C$12),"VIABLE CON CONDICIONES: cerrar las brechas críticas antes de exportar",IF(AND(C25&lt;$C$12,C38&gt;=$C$12),"EMPRESA NO LISTA: fortalecer capacidades internas antes de exportar",IF(AND(C25&gt;=$C$12,C38&lt;$C$12),"ENTORNO/MERCADO DESFAVORABLE: reorientar destino, producto o canal","NO VIABLE por ahora: reformular el proyecto")))))</f>
        <v>VIABLE CON CONDICIONES: cerrar las brechas críticas antes de exportar</v>
      </c>
      <c r="D44" s="81"/>
      <c r="E44" s="81"/>
      <c r="F44" s="81"/>
    </row>
    <row r="45" spans="2:6" x14ac:dyDescent="0.25">
      <c r="B45" s="14" t="s">
        <v>790</v>
      </c>
    </row>
    <row r="47" spans="2:6" x14ac:dyDescent="0.25">
      <c r="B47" s="15" t="s">
        <v>791</v>
      </c>
    </row>
    <row r="48" spans="2:6" x14ac:dyDescent="0.25">
      <c r="B48" s="1" t="s">
        <v>740</v>
      </c>
      <c r="C48" s="1" t="s">
        <v>792</v>
      </c>
      <c r="D48" s="1" t="s">
        <v>793</v>
      </c>
      <c r="E48" s="82" t="s">
        <v>794</v>
      </c>
      <c r="F48" s="82"/>
    </row>
    <row r="49" spans="2:6" ht="27.75" customHeight="1" x14ac:dyDescent="0.25">
      <c r="B49" s="50" t="s">
        <v>795</v>
      </c>
      <c r="C49" s="56">
        <f>+'MATRIZ FODA'!C15</f>
        <v>14</v>
      </c>
      <c r="D49" s="57">
        <f>+'MATRIZ FODA'!C16</f>
        <v>0.16666666666666666</v>
      </c>
      <c r="E49" s="77" t="s">
        <v>796</v>
      </c>
      <c r="F49" s="77"/>
    </row>
    <row r="50" spans="2:6" ht="27.75" customHeight="1" x14ac:dyDescent="0.25">
      <c r="B50" s="50" t="s">
        <v>797</v>
      </c>
      <c r="C50" s="56">
        <f>+'MATRIZ FODA'!D15</f>
        <v>28</v>
      </c>
      <c r="D50" s="57">
        <f>+'MATRIZ FODA'!D16</f>
        <v>0.33333333333333331</v>
      </c>
      <c r="E50" s="77" t="s">
        <v>798</v>
      </c>
      <c r="F50" s="77"/>
    </row>
    <row r="51" spans="2:6" ht="27.75" customHeight="1" x14ac:dyDescent="0.25">
      <c r="B51" s="50" t="s">
        <v>799</v>
      </c>
      <c r="C51" s="56">
        <f>+'MATRIZ FODA'!E15</f>
        <v>12</v>
      </c>
      <c r="D51" s="57">
        <f>+'MATRIZ FODA'!E16</f>
        <v>0.14285714285714285</v>
      </c>
      <c r="E51" s="77" t="s">
        <v>800</v>
      </c>
      <c r="F51" s="77"/>
    </row>
    <row r="52" spans="2:6" ht="27.75" customHeight="1" x14ac:dyDescent="0.25">
      <c r="B52" s="50" t="s">
        <v>801</v>
      </c>
      <c r="C52" s="56">
        <f>+'MATRIZ FODA'!F15</f>
        <v>30</v>
      </c>
      <c r="D52" s="57">
        <f>+'MATRIZ FODA'!F16</f>
        <v>0.35714285714285715</v>
      </c>
      <c r="E52" s="77" t="s">
        <v>802</v>
      </c>
      <c r="F52" s="77"/>
    </row>
    <row r="53" spans="2:6" x14ac:dyDescent="0.25">
      <c r="B53" s="12" t="s">
        <v>803</v>
      </c>
      <c r="C53" s="78" t="str">
        <f>IF(SUM(C49:C52)=0,"sin datos",INDEX(B49:B52,MATCH(MAX(C49:C52),C49:C52,0)))</f>
        <v>Debilidades-Amenazas (DA)</v>
      </c>
      <c r="D53" s="78"/>
      <c r="E53" s="78"/>
      <c r="F53" s="78"/>
    </row>
  </sheetData>
  <mergeCells count="14">
    <mergeCell ref="C3:F3"/>
    <mergeCell ref="C4:F4"/>
    <mergeCell ref="C5:F5"/>
    <mergeCell ref="C6:F6"/>
    <mergeCell ref="C7:F7"/>
    <mergeCell ref="E50:F50"/>
    <mergeCell ref="E51:F51"/>
    <mergeCell ref="E52:F52"/>
    <mergeCell ref="C53:F53"/>
    <mergeCell ref="C8:F8"/>
    <mergeCell ref="B9:F9"/>
    <mergeCell ref="C44:F44"/>
    <mergeCell ref="E48:F48"/>
    <mergeCell ref="E49:F49"/>
  </mergeCells>
  <conditionalFormatting sqref="C15:C25">
    <cfRule type="cellIs" dxfId="16" priority="2" operator="lessThan">
      <formula>5</formula>
    </cfRule>
    <cfRule type="cellIs" dxfId="15" priority="3" operator="between">
      <formula>5</formula>
      <formula>8</formula>
    </cfRule>
    <cfRule type="cellIs" dxfId="14" priority="4" operator="between">
      <formula>8</formula>
      <formula>10</formula>
    </cfRule>
  </conditionalFormatting>
  <conditionalFormatting sqref="C29:C38">
    <cfRule type="cellIs" dxfId="13" priority="9" operator="lessThan">
      <formula>5</formula>
    </cfRule>
    <cfRule type="cellIs" dxfId="12" priority="10" operator="between">
      <formula>5</formula>
      <formula>8</formula>
    </cfRule>
    <cfRule type="cellIs" dxfId="11" priority="11" operator="between">
      <formula>8</formula>
      <formula>10</formula>
    </cfRule>
  </conditionalFormatting>
  <conditionalFormatting sqref="D15:D25">
    <cfRule type="expression" dxfId="10" priority="5">
      <formula>D15="Excelencia"</formula>
    </cfRule>
    <cfRule type="expression" dxfId="9" priority="6">
      <formula>D15="Bueno"</formula>
    </cfRule>
    <cfRule type="expression" dxfId="8" priority="7">
      <formula>D15="Regular"</formula>
    </cfRule>
    <cfRule type="expression" dxfId="7" priority="8">
      <formula>D15="Alarmante"</formula>
    </cfRule>
  </conditionalFormatting>
  <conditionalFormatting sqref="D29:D38">
    <cfRule type="expression" dxfId="6" priority="12">
      <formula>D29="Excelencia"</formula>
    </cfRule>
    <cfRule type="expression" dxfId="5" priority="13">
      <formula>D29="Bueno"</formula>
    </cfRule>
    <cfRule type="expression" dxfId="4" priority="14">
      <formula>D29="Regular"</formula>
    </cfRule>
    <cfRule type="expression" dxfId="3" priority="15">
      <formula>D29="Alarmante"</formula>
    </cfRule>
  </conditionalFormatting>
  <dataValidations count="1">
    <dataValidation type="list" allowBlank="1" showErrorMessage="1" sqref="C8" xr:uid="{00000000-0002-0000-0700-000000000000}">
      <formula1>"Exporta actualmente,No exporta - evalúa iniciar"</formula1>
      <formula2>0</formula2>
    </dataValidation>
  </dataValidations>
  <pageMargins left="0.75" right="0.75" top="1" bottom="1" header="0.511811023622047" footer="0.511811023622047"/>
  <pageSetup paperSize="9" fitToHeight="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49"/>
  <sheetViews>
    <sheetView showGridLines="0" zoomScaleNormal="100" workbookViewId="0">
      <pane xSplit="3" ySplit="2" topLeftCell="D24" activePane="bottomRight" state="frozen"/>
      <selection pane="topRight" activeCell="D1" sqref="D1"/>
      <selection pane="bottomLeft" activeCell="A3" sqref="A3"/>
      <selection pane="bottomRight" activeCell="P21" sqref="P21"/>
    </sheetView>
  </sheetViews>
  <sheetFormatPr baseColWidth="10" defaultColWidth="8.7109375" defaultRowHeight="15" x14ac:dyDescent="0.25"/>
  <cols>
    <col min="1" max="1" width="3" customWidth="1"/>
    <col min="2" max="2" width="16.5703125" customWidth="1"/>
    <col min="3" max="3" width="6.42578125" customWidth="1"/>
    <col min="4" max="4" width="3.85546875" customWidth="1"/>
    <col min="5" max="9" width="3.140625" customWidth="1"/>
    <col min="10" max="10" width="7.140625" customWidth="1"/>
    <col min="11" max="14" width="3.140625" customWidth="1"/>
    <col min="15" max="15" width="6.42578125" customWidth="1"/>
    <col min="16" max="16" width="8" customWidth="1"/>
    <col min="17" max="17" width="5.5703125" customWidth="1"/>
    <col min="18" max="18" width="2.140625" customWidth="1"/>
    <col min="19" max="19" width="7.5703125" customWidth="1"/>
    <col min="20" max="22" width="7" customWidth="1"/>
    <col min="23" max="23" width="6" customWidth="1"/>
    <col min="24" max="24" width="10" customWidth="1"/>
  </cols>
  <sheetData>
    <row r="1" spans="1:26" x14ac:dyDescent="0.25">
      <c r="A1" s="4"/>
      <c r="B1" s="4"/>
      <c r="C1" s="4"/>
      <c r="D1" s="4"/>
      <c r="E1" s="75" t="s">
        <v>804</v>
      </c>
      <c r="F1" s="75"/>
      <c r="G1" s="75"/>
      <c r="H1" s="75"/>
      <c r="I1" s="75"/>
      <c r="J1" s="4"/>
      <c r="K1" s="75" t="s">
        <v>805</v>
      </c>
      <c r="L1" s="75"/>
      <c r="M1" s="75"/>
      <c r="N1" s="75"/>
      <c r="O1" s="4"/>
      <c r="P1" s="4"/>
      <c r="Q1" s="4"/>
      <c r="R1" s="4"/>
      <c r="S1" s="58" t="s">
        <v>806</v>
      </c>
      <c r="T1" s="58" t="s">
        <v>807</v>
      </c>
      <c r="U1" s="58" t="s">
        <v>808</v>
      </c>
      <c r="V1" s="58" t="s">
        <v>809</v>
      </c>
      <c r="W1" s="4"/>
      <c r="X1" s="4"/>
      <c r="Y1" s="4"/>
      <c r="Z1" s="4"/>
    </row>
    <row r="2" spans="1:26" x14ac:dyDescent="0.25">
      <c r="A2" s="4"/>
      <c r="B2" s="4" t="s">
        <v>740</v>
      </c>
      <c r="C2" s="4" t="s">
        <v>810</v>
      </c>
      <c r="D2" s="4"/>
      <c r="E2" s="4">
        <v>1</v>
      </c>
      <c r="F2" s="4">
        <v>2</v>
      </c>
      <c r="G2" s="4">
        <v>3</v>
      </c>
      <c r="H2" s="4">
        <v>4</v>
      </c>
      <c r="I2" s="4">
        <v>5</v>
      </c>
      <c r="J2" s="4" t="s">
        <v>811</v>
      </c>
      <c r="K2" s="4">
        <v>1</v>
      </c>
      <c r="L2" s="4">
        <v>2</v>
      </c>
      <c r="M2" s="4">
        <v>3</v>
      </c>
      <c r="N2" s="4">
        <v>4</v>
      </c>
      <c r="O2" s="4" t="s">
        <v>811</v>
      </c>
      <c r="P2" s="4" t="s">
        <v>812</v>
      </c>
      <c r="Q2" s="4" t="s">
        <v>813</v>
      </c>
      <c r="R2" s="4"/>
      <c r="S2" s="4">
        <v>-1</v>
      </c>
      <c r="T2" s="4">
        <v>-0.5</v>
      </c>
      <c r="U2" s="4">
        <v>0.5</v>
      </c>
      <c r="V2" s="4">
        <v>1</v>
      </c>
      <c r="W2" s="4" t="s">
        <v>811</v>
      </c>
      <c r="X2" s="4" t="s">
        <v>814</v>
      </c>
      <c r="Y2" s="4"/>
      <c r="Z2" s="4"/>
    </row>
    <row r="3" spans="1:26" x14ac:dyDescent="0.25">
      <c r="A3" s="4"/>
      <c r="B3" s="4" t="str">
        <f>+FormularioFODA!B5</f>
        <v>Segmentos de Clientes</v>
      </c>
      <c r="C3" s="4" t="s">
        <v>247</v>
      </c>
      <c r="D3" s="4">
        <v>1</v>
      </c>
      <c r="E3" s="4">
        <f>+IF(FormularioFODA!D6="x",1,0)</f>
        <v>0</v>
      </c>
      <c r="F3" s="4">
        <f>+IF(FormularioFODA!E6="x",1,0)</f>
        <v>0</v>
      </c>
      <c r="G3" s="4">
        <f>+IF(FormularioFODA!F6="x",1,0)</f>
        <v>0</v>
      </c>
      <c r="H3" s="4">
        <f>+IF(FormularioFODA!G6="x",1,0)</f>
        <v>1</v>
      </c>
      <c r="I3" s="4">
        <f>+IF(FormularioFODA!H6="x",1,0)</f>
        <v>0</v>
      </c>
      <c r="J3" s="4">
        <f>SUM(E3:I3)</f>
        <v>1</v>
      </c>
      <c r="K3" s="4">
        <f>+IF(FormularioFODA!J6="x",1,0)*K$2</f>
        <v>0</v>
      </c>
      <c r="L3" s="4">
        <f>+IF(FormularioFODA!K6="x",1,0)*L$2</f>
        <v>0</v>
      </c>
      <c r="M3" s="4">
        <f>+IF(FormularioFODA!L6="x",1,0)*M$2</f>
        <v>3</v>
      </c>
      <c r="N3" s="4">
        <f>+IF(FormularioFODA!M6="x",1,0)*N$2</f>
        <v>0</v>
      </c>
      <c r="O3" s="4">
        <f>SUM(K3:N3)</f>
        <v>3</v>
      </c>
      <c r="P3" s="34">
        <f>IF($O$8=0,0,O3/$O$8)</f>
        <v>0.17647058823529413</v>
      </c>
      <c r="Q3" s="59">
        <f>+(J3/$I$2)*P3</f>
        <v>3.529411764705883E-2</v>
      </c>
      <c r="R3" s="4"/>
      <c r="S3" s="4">
        <f t="shared" ref="S3:V7" si="0">+F3*S$2</f>
        <v>0</v>
      </c>
      <c r="T3" s="4">
        <f t="shared" si="0"/>
        <v>0</v>
      </c>
      <c r="U3" s="4">
        <f t="shared" si="0"/>
        <v>0.5</v>
      </c>
      <c r="V3" s="4">
        <f t="shared" si="0"/>
        <v>0</v>
      </c>
      <c r="W3" s="4">
        <f>SUM(S3:V3)</f>
        <v>0.5</v>
      </c>
      <c r="X3" s="59">
        <f>+W3*P3</f>
        <v>8.8235294117647065E-2</v>
      </c>
      <c r="Y3" s="4"/>
      <c r="Z3" s="4" t="str">
        <f>+FormularioFODA!B6</f>
        <v>1 - Definición de segmentos y países objetivo. Se considera favorable si la empresa tiene definidos, con datos, los tipos de cliente externo (importador, distribuidor, industria, retail) y los 2 o 3 países prioritarios.</v>
      </c>
    </row>
    <row r="4" spans="1:26" x14ac:dyDescent="0.25">
      <c r="A4" s="4"/>
      <c r="B4" s="4"/>
      <c r="C4" s="4" t="s">
        <v>253</v>
      </c>
      <c r="D4" s="4">
        <v>2</v>
      </c>
      <c r="E4" s="4">
        <f>+IF(FormularioFODA!D7="x",1,0)</f>
        <v>0</v>
      </c>
      <c r="F4" s="4">
        <f>+IF(FormularioFODA!E7="x",1,0)</f>
        <v>0</v>
      </c>
      <c r="G4" s="4">
        <f>+IF(FormularioFODA!F7="x",1,0)</f>
        <v>0</v>
      </c>
      <c r="H4" s="4">
        <f>+IF(FormularioFODA!G7="x",1,0)</f>
        <v>1</v>
      </c>
      <c r="I4" s="4">
        <f>+IF(FormularioFODA!H7="x",1,0)</f>
        <v>0</v>
      </c>
      <c r="J4" s="4">
        <f>SUM(E4:I4)</f>
        <v>1</v>
      </c>
      <c r="K4" s="4">
        <f>+IF(FormularioFODA!J7="x",1,0)*K$2</f>
        <v>0</v>
      </c>
      <c r="L4" s="4">
        <f>+IF(FormularioFODA!K7="x",1,0)*L$2</f>
        <v>0</v>
      </c>
      <c r="M4" s="4">
        <f>+IF(FormularioFODA!L7="x",1,0)*M$2</f>
        <v>0</v>
      </c>
      <c r="N4" s="4">
        <f>+IF(FormularioFODA!M7="x",1,0)*N$2</f>
        <v>4</v>
      </c>
      <c r="O4" s="4">
        <f>SUM(K4:N4)</f>
        <v>4</v>
      </c>
      <c r="P4" s="34">
        <f>IF($O$8=0,0,O4/$O$8)</f>
        <v>0.23529411764705882</v>
      </c>
      <c r="Q4" s="59">
        <f>+(J4/$I$2)*P4</f>
        <v>4.7058823529411764E-2</v>
      </c>
      <c r="R4" s="4"/>
      <c r="S4" s="4">
        <f t="shared" si="0"/>
        <v>0</v>
      </c>
      <c r="T4" s="4">
        <f t="shared" si="0"/>
        <v>0</v>
      </c>
      <c r="U4" s="4">
        <f t="shared" si="0"/>
        <v>0.5</v>
      </c>
      <c r="V4" s="4">
        <f t="shared" si="0"/>
        <v>0</v>
      </c>
      <c r="W4" s="4">
        <f>SUM(S4:V4)</f>
        <v>0.5</v>
      </c>
      <c r="X4" s="59">
        <f>+W4*P4</f>
        <v>0.11764705882352941</v>
      </c>
      <c r="Y4" s="4"/>
      <c r="Z4" s="4" t="str">
        <f>+FormularioFODA!B7</f>
        <v>2 - Conocimiento de las necesidades del cliente externo. Se considera favorable si la empresa conoce qué exige el comprador del exterior (calidad, volumen, plazos, formatos, certificaciones) y no solo lo que pide el mercado interno.</v>
      </c>
    </row>
    <row r="5" spans="1:26" x14ac:dyDescent="0.25">
      <c r="A5" s="4"/>
      <c r="B5" s="4"/>
      <c r="C5" s="4" t="s">
        <v>258</v>
      </c>
      <c r="D5" s="4">
        <v>3</v>
      </c>
      <c r="E5" s="4">
        <f>+IF(FormularioFODA!D8="x",1,0)</f>
        <v>0</v>
      </c>
      <c r="F5" s="4">
        <f>+IF(FormularioFODA!E8="x",1,0)</f>
        <v>0</v>
      </c>
      <c r="G5" s="4">
        <f>+IF(FormularioFODA!F8="x",1,0)</f>
        <v>0</v>
      </c>
      <c r="H5" s="4">
        <f>+IF(FormularioFODA!G8="x",1,0)</f>
        <v>1</v>
      </c>
      <c r="I5" s="4">
        <f>+IF(FormularioFODA!H8="x",1,0)</f>
        <v>0</v>
      </c>
      <c r="J5" s="4">
        <f>SUM(E5:I5)</f>
        <v>1</v>
      </c>
      <c r="K5" s="4">
        <f>+IF(FormularioFODA!J8="x",1,0)*K$2</f>
        <v>0</v>
      </c>
      <c r="L5" s="4">
        <f>+IF(FormularioFODA!K8="x",1,0)*L$2</f>
        <v>0</v>
      </c>
      <c r="M5" s="4">
        <f>+IF(FormularioFODA!L8="x",1,0)*M$2</f>
        <v>3</v>
      </c>
      <c r="N5" s="4">
        <f>+IF(FormularioFODA!M8="x",1,0)*N$2</f>
        <v>0</v>
      </c>
      <c r="O5" s="4">
        <f>SUM(K5:N5)</f>
        <v>3</v>
      </c>
      <c r="P5" s="34">
        <f>IF($O$8=0,0,O5/$O$8)</f>
        <v>0.17647058823529413</v>
      </c>
      <c r="Q5" s="59">
        <f>+(J5/$I$2)*P5</f>
        <v>3.529411764705883E-2</v>
      </c>
      <c r="R5" s="4"/>
      <c r="S5" s="4">
        <f t="shared" si="0"/>
        <v>0</v>
      </c>
      <c r="T5" s="4">
        <f t="shared" si="0"/>
        <v>0</v>
      </c>
      <c r="U5" s="4">
        <f t="shared" si="0"/>
        <v>0.5</v>
      </c>
      <c r="V5" s="4">
        <f t="shared" si="0"/>
        <v>0</v>
      </c>
      <c r="W5" s="4">
        <f>SUM(S5:V5)</f>
        <v>0.5</v>
      </c>
      <c r="X5" s="59">
        <f>+W5*P5</f>
        <v>8.8235294117647065E-2</v>
      </c>
      <c r="Y5" s="4"/>
      <c r="Z5" s="4" t="str">
        <f>+FormularioFODA!B8</f>
        <v>3 - Concentración de clientes. Se considera favorable si ningún cliente supera el 40% de las ventas y la cartera está balanceada entre mercado interno y potencial externo.</v>
      </c>
    </row>
    <row r="6" spans="1:26" x14ac:dyDescent="0.25">
      <c r="A6" s="4"/>
      <c r="B6" s="4"/>
      <c r="C6" s="4" t="s">
        <v>263</v>
      </c>
      <c r="D6" s="4">
        <v>4</v>
      </c>
      <c r="E6" s="4">
        <f>+IF(FormularioFODA!D9="x",1,0)</f>
        <v>0</v>
      </c>
      <c r="F6" s="4">
        <f>+IF(FormularioFODA!E9="x",1,0)</f>
        <v>0</v>
      </c>
      <c r="G6" s="4">
        <f>+IF(FormularioFODA!F9="x",1,0)</f>
        <v>1</v>
      </c>
      <c r="H6" s="4">
        <f>+IF(FormularioFODA!G9="x",1,0)</f>
        <v>0</v>
      </c>
      <c r="I6" s="4">
        <f>+IF(FormularioFODA!H9="x",1,0)</f>
        <v>0</v>
      </c>
      <c r="J6" s="4">
        <f>SUM(E6:I6)</f>
        <v>1</v>
      </c>
      <c r="K6" s="4">
        <f>+IF(FormularioFODA!J9="x",1,0)*K$2</f>
        <v>0</v>
      </c>
      <c r="L6" s="4">
        <f>+IF(FormularioFODA!K9="x",1,0)*L$2</f>
        <v>0</v>
      </c>
      <c r="M6" s="4">
        <f>+IF(FormularioFODA!L9="x",1,0)*M$2</f>
        <v>3</v>
      </c>
      <c r="N6" s="4">
        <f>+IF(FormularioFODA!M9="x",1,0)*N$2</f>
        <v>0</v>
      </c>
      <c r="O6" s="4">
        <f>SUM(K6:N6)</f>
        <v>3</v>
      </c>
      <c r="P6" s="34">
        <f>IF($O$8=0,0,O6/$O$8)</f>
        <v>0.17647058823529413</v>
      </c>
      <c r="Q6" s="59">
        <f>+(J6/$I$2)*P6</f>
        <v>3.529411764705883E-2</v>
      </c>
      <c r="R6" s="4"/>
      <c r="S6" s="4">
        <f t="shared" si="0"/>
        <v>0</v>
      </c>
      <c r="T6" s="4">
        <f t="shared" si="0"/>
        <v>-0.5</v>
      </c>
      <c r="U6" s="4">
        <f t="shared" si="0"/>
        <v>0</v>
      </c>
      <c r="V6" s="4">
        <f t="shared" si="0"/>
        <v>0</v>
      </c>
      <c r="W6" s="4">
        <f>SUM(S6:V6)</f>
        <v>-0.5</v>
      </c>
      <c r="X6" s="59">
        <f>+W6*P6</f>
        <v>-8.8235294117647065E-2</v>
      </c>
      <c r="Y6" s="4"/>
      <c r="Z6" s="4" t="str">
        <f>+FormularioFODA!B9</f>
        <v>4 - Experiencia previa exportadora. Se considera favorable si la empresa ya exportó (aunque sea de forma esporádica o indirecta, vía un tercero) o cotizó operaciones al exterior.</v>
      </c>
    </row>
    <row r="7" spans="1:26" x14ac:dyDescent="0.25">
      <c r="A7" s="4"/>
      <c r="B7" s="4"/>
      <c r="C7" s="4" t="s">
        <v>268</v>
      </c>
      <c r="D7" s="4">
        <v>5</v>
      </c>
      <c r="E7" s="4">
        <f>+IF(FormularioFODA!D10="x",1,0)</f>
        <v>0</v>
      </c>
      <c r="F7" s="4">
        <f>+IF(FormularioFODA!E10="x",1,0)</f>
        <v>0</v>
      </c>
      <c r="G7" s="4">
        <f>+IF(FormularioFODA!F10="x",1,0)</f>
        <v>1</v>
      </c>
      <c r="H7" s="4">
        <f>+IF(FormularioFODA!G10="x",1,0)</f>
        <v>0</v>
      </c>
      <c r="I7" s="4">
        <f>+IF(FormularioFODA!H10="x",1,0)</f>
        <v>0</v>
      </c>
      <c r="J7" s="4">
        <f>SUM(E7:I7)</f>
        <v>1</v>
      </c>
      <c r="K7" s="4">
        <f>+IF(FormularioFODA!J10="x",1,0)*K$2</f>
        <v>0</v>
      </c>
      <c r="L7" s="4">
        <f>+IF(FormularioFODA!K10="x",1,0)*L$2</f>
        <v>0</v>
      </c>
      <c r="M7" s="4">
        <f>+IF(FormularioFODA!L10="x",1,0)*M$2</f>
        <v>0</v>
      </c>
      <c r="N7" s="4">
        <f>+IF(FormularioFODA!M10="x",1,0)*N$2</f>
        <v>4</v>
      </c>
      <c r="O7" s="4">
        <f>SUM(K7:N7)</f>
        <v>4</v>
      </c>
      <c r="P7" s="34">
        <f>IF($O$8=0,0,O7/$O$8)</f>
        <v>0.23529411764705882</v>
      </c>
      <c r="Q7" s="59">
        <f>+(J7/$I$2)*P7</f>
        <v>4.7058823529411764E-2</v>
      </c>
      <c r="R7" s="4"/>
      <c r="S7" s="4">
        <f t="shared" si="0"/>
        <v>0</v>
      </c>
      <c r="T7" s="4">
        <f t="shared" si="0"/>
        <v>-0.5</v>
      </c>
      <c r="U7" s="4">
        <f t="shared" si="0"/>
        <v>0</v>
      </c>
      <c r="V7" s="4">
        <f t="shared" si="0"/>
        <v>0</v>
      </c>
      <c r="W7" s="4">
        <f>SUM(S7:V7)</f>
        <v>-0.5</v>
      </c>
      <c r="X7" s="59">
        <f>+W7*P7</f>
        <v>-0.11764705882352941</v>
      </c>
      <c r="Y7" s="4"/>
      <c r="Z7" s="4" t="str">
        <f>+FormularioFODA!B10</f>
        <v>5 - Acceso a información de mercados. Se considera favorable si la empresa consulta fuentes sistemáticas (estadísticas de comercio, cámaras, agencias de promoción, consulados) para elegir destinos y precios.</v>
      </c>
    </row>
    <row r="8" spans="1:26" x14ac:dyDescent="0.25">
      <c r="A8" s="4"/>
      <c r="B8" s="12" t="s">
        <v>815</v>
      </c>
      <c r="C8" s="4"/>
      <c r="D8" s="4"/>
      <c r="E8" s="12">
        <f t="shared" ref="E8:Q8" si="1">SUM(E3:E7)</f>
        <v>0</v>
      </c>
      <c r="F8" s="12">
        <f t="shared" si="1"/>
        <v>0</v>
      </c>
      <c r="G8" s="12">
        <f t="shared" si="1"/>
        <v>2</v>
      </c>
      <c r="H8" s="12">
        <f t="shared" si="1"/>
        <v>3</v>
      </c>
      <c r="I8" s="12">
        <f t="shared" si="1"/>
        <v>0</v>
      </c>
      <c r="J8" s="12">
        <f t="shared" si="1"/>
        <v>5</v>
      </c>
      <c r="K8" s="12">
        <f t="shared" si="1"/>
        <v>0</v>
      </c>
      <c r="L8" s="12">
        <f t="shared" si="1"/>
        <v>0</v>
      </c>
      <c r="M8" s="12">
        <f t="shared" si="1"/>
        <v>9</v>
      </c>
      <c r="N8" s="12">
        <f t="shared" si="1"/>
        <v>8</v>
      </c>
      <c r="O8" s="12">
        <f t="shared" si="1"/>
        <v>17</v>
      </c>
      <c r="P8" s="60">
        <f t="shared" si="1"/>
        <v>1</v>
      </c>
      <c r="Q8" s="61">
        <f t="shared" si="1"/>
        <v>0.20000000000000004</v>
      </c>
      <c r="R8" s="4"/>
      <c r="S8" s="4"/>
      <c r="T8" s="4"/>
      <c r="U8" s="4"/>
      <c r="V8" s="4"/>
      <c r="W8" s="4"/>
      <c r="X8" s="61">
        <f>SUM(X3:X7)</f>
        <v>8.8235294117647051E-2</v>
      </c>
      <c r="Y8" s="4"/>
      <c r="Z8" s="4"/>
    </row>
    <row r="9" spans="1:26" x14ac:dyDescent="0.25">
      <c r="A9" s="4"/>
      <c r="B9" s="4"/>
      <c r="C9" s="4"/>
      <c r="D9" s="4"/>
      <c r="E9" s="4"/>
      <c r="F9" s="4"/>
      <c r="G9" s="4"/>
      <c r="H9" s="4"/>
      <c r="I9" s="4"/>
      <c r="J9" s="4"/>
      <c r="K9" s="4"/>
      <c r="L9" s="4"/>
      <c r="M9" s="4"/>
      <c r="N9" s="4"/>
      <c r="O9" s="4"/>
      <c r="P9" s="34"/>
      <c r="Q9" s="59"/>
      <c r="R9" s="4"/>
      <c r="S9" s="4"/>
      <c r="T9" s="4"/>
      <c r="U9" s="4"/>
      <c r="V9" s="4"/>
      <c r="W9" s="4"/>
      <c r="X9" s="59"/>
      <c r="Y9" s="4"/>
      <c r="Z9" s="4"/>
    </row>
    <row r="10" spans="1:26" x14ac:dyDescent="0.25">
      <c r="A10" s="4"/>
      <c r="B10" s="4" t="str">
        <f>+FormularioFODA!B12</f>
        <v>Propuesta de Valor</v>
      </c>
      <c r="C10" s="4" t="s">
        <v>273</v>
      </c>
      <c r="D10" s="4">
        <v>1</v>
      </c>
      <c r="E10" s="4">
        <f>+IF(FormularioFODA!D13="x",1,0)</f>
        <v>0</v>
      </c>
      <c r="F10" s="4">
        <f>+IF(FormularioFODA!E13="x",1,0)</f>
        <v>0</v>
      </c>
      <c r="G10" s="4">
        <f>+IF(FormularioFODA!F13="x",1,0)</f>
        <v>1</v>
      </c>
      <c r="H10" s="4">
        <f>+IF(FormularioFODA!G13="x",1,0)</f>
        <v>0</v>
      </c>
      <c r="I10" s="4">
        <f>+IF(FormularioFODA!H13="x",1,0)</f>
        <v>0</v>
      </c>
      <c r="J10" s="4">
        <f t="shared" ref="J10:J16" si="2">SUM(E10:I10)</f>
        <v>1</v>
      </c>
      <c r="K10" s="4">
        <f>+IF(FormularioFODA!J13="x",1,0)*K$2</f>
        <v>0</v>
      </c>
      <c r="L10" s="4">
        <f>+IF(FormularioFODA!K13="x",1,0)*L$2</f>
        <v>0</v>
      </c>
      <c r="M10" s="4">
        <f>+IF(FormularioFODA!L13="x",1,0)*M$2</f>
        <v>0</v>
      </c>
      <c r="N10" s="4">
        <f>+IF(FormularioFODA!M13="x",1,0)*N$2</f>
        <v>4</v>
      </c>
      <c r="O10" s="4">
        <f t="shared" ref="O10:O16" si="3">SUM(K10:N10)</f>
        <v>4</v>
      </c>
      <c r="P10" s="34">
        <f t="shared" ref="P10:P16" si="4">IF($O$17=0,0,O10/$O$17)</f>
        <v>0.17391304347826086</v>
      </c>
      <c r="Q10" s="59">
        <f t="shared" ref="Q10:Q16" si="5">+(J10/$I$2)*P10</f>
        <v>3.4782608695652174E-2</v>
      </c>
      <c r="R10" s="4"/>
      <c r="S10" s="4">
        <f t="shared" ref="S10:V16" si="6">+F10*S$2</f>
        <v>0</v>
      </c>
      <c r="T10" s="4">
        <f t="shared" si="6"/>
        <v>-0.5</v>
      </c>
      <c r="U10" s="4">
        <f t="shared" si="6"/>
        <v>0</v>
      </c>
      <c r="V10" s="4">
        <f t="shared" si="6"/>
        <v>0</v>
      </c>
      <c r="W10" s="4">
        <f t="shared" ref="W10:W16" si="7">SUM(S10:V10)</f>
        <v>-0.5</v>
      </c>
      <c r="X10" s="59">
        <f t="shared" ref="X10:X16" si="8">+W10*P10</f>
        <v>-8.6956521739130432E-2</v>
      </c>
      <c r="Y10" s="4"/>
      <c r="Z10" s="4" t="str">
        <f>+FormularioFODA!B13</f>
        <v>1 - Diferenciación del producto. Se considera favorable si el producto tiene atributos diferenciales (calidad, diseño, especie o variedad, proceso, origen) que el cliente externo reconoce y valora.</v>
      </c>
    </row>
    <row r="11" spans="1:26" x14ac:dyDescent="0.25">
      <c r="A11" s="4"/>
      <c r="B11" s="4"/>
      <c r="C11" s="4" t="s">
        <v>279</v>
      </c>
      <c r="D11" s="4">
        <v>2</v>
      </c>
      <c r="E11" s="4">
        <f>+IF(FormularioFODA!D14="x",1,0)</f>
        <v>0</v>
      </c>
      <c r="F11" s="4">
        <f>+IF(FormularioFODA!E14="x",1,0)</f>
        <v>0</v>
      </c>
      <c r="G11" s="4">
        <f>+IF(FormularioFODA!F14="x",1,0)</f>
        <v>0</v>
      </c>
      <c r="H11" s="4">
        <f>+IF(FormularioFODA!G14="x",1,0)</f>
        <v>1</v>
      </c>
      <c r="I11" s="4">
        <f>+IF(FormularioFODA!H14="x",1,0)</f>
        <v>0</v>
      </c>
      <c r="J11" s="4">
        <f t="shared" si="2"/>
        <v>1</v>
      </c>
      <c r="K11" s="4">
        <f>+IF(FormularioFODA!J14="x",1,0)*K$2</f>
        <v>0</v>
      </c>
      <c r="L11" s="4">
        <f>+IF(FormularioFODA!K14="x",1,0)*L$2</f>
        <v>0</v>
      </c>
      <c r="M11" s="4">
        <f>+IF(FormularioFODA!L14="x",1,0)*M$2</f>
        <v>3</v>
      </c>
      <c r="N11" s="4">
        <f>+IF(FormularioFODA!M14="x",1,0)*N$2</f>
        <v>0</v>
      </c>
      <c r="O11" s="4">
        <f t="shared" si="3"/>
        <v>3</v>
      </c>
      <c r="P11" s="34">
        <f t="shared" si="4"/>
        <v>0.13043478260869565</v>
      </c>
      <c r="Q11" s="59">
        <f t="shared" si="5"/>
        <v>2.6086956521739132E-2</v>
      </c>
      <c r="R11" s="4"/>
      <c r="S11" s="4">
        <f t="shared" si="6"/>
        <v>0</v>
      </c>
      <c r="T11" s="4">
        <f t="shared" si="6"/>
        <v>0</v>
      </c>
      <c r="U11" s="4">
        <f t="shared" si="6"/>
        <v>0.5</v>
      </c>
      <c r="V11" s="4">
        <f t="shared" si="6"/>
        <v>0</v>
      </c>
      <c r="W11" s="4">
        <f t="shared" si="7"/>
        <v>0.5</v>
      </c>
      <c r="X11" s="59">
        <f t="shared" si="8"/>
        <v>6.5217391304347824E-2</v>
      </c>
      <c r="Y11" s="4"/>
      <c r="Z11" s="4" t="str">
        <f>+FormularioFODA!B14</f>
        <v>2 - Adecuación a requisitos del mercado destino. Se considera favorable si el producto (norma técnica, envase, etiquetado, idioma, unidades) está adaptado como mínimo al 80% de lo que exige el destino elegido.</v>
      </c>
    </row>
    <row r="12" spans="1:26" x14ac:dyDescent="0.25">
      <c r="A12" s="4"/>
      <c r="B12" s="4"/>
      <c r="C12" s="4" t="s">
        <v>283</v>
      </c>
      <c r="D12" s="4">
        <v>3</v>
      </c>
      <c r="E12" s="4">
        <f>+IF(FormularioFODA!D15="x",1,0)</f>
        <v>0</v>
      </c>
      <c r="F12" s="4">
        <f>+IF(FormularioFODA!E15="x",1,0)</f>
        <v>0</v>
      </c>
      <c r="G12" s="4">
        <f>+IF(FormularioFODA!F15="x",1,0)</f>
        <v>1</v>
      </c>
      <c r="H12" s="4">
        <f>+IF(FormularioFODA!G15="x",1,0)</f>
        <v>0</v>
      </c>
      <c r="I12" s="4">
        <f>+IF(FormularioFODA!H15="x",1,0)</f>
        <v>0</v>
      </c>
      <c r="J12" s="4">
        <f t="shared" si="2"/>
        <v>1</v>
      </c>
      <c r="K12" s="4">
        <f>+IF(FormularioFODA!J15="x",1,0)*K$2</f>
        <v>0</v>
      </c>
      <c r="L12" s="4">
        <f>+IF(FormularioFODA!K15="x",1,0)*L$2</f>
        <v>0</v>
      </c>
      <c r="M12" s="4">
        <f>+IF(FormularioFODA!L15="x",1,0)*M$2</f>
        <v>3</v>
      </c>
      <c r="N12" s="4">
        <f>+IF(FormularioFODA!M15="x",1,0)*N$2</f>
        <v>0</v>
      </c>
      <c r="O12" s="4">
        <f t="shared" si="3"/>
        <v>3</v>
      </c>
      <c r="P12" s="34">
        <f t="shared" si="4"/>
        <v>0.13043478260869565</v>
      </c>
      <c r="Q12" s="59">
        <f t="shared" si="5"/>
        <v>2.6086956521739132E-2</v>
      </c>
      <c r="R12" s="4"/>
      <c r="S12" s="4">
        <f t="shared" si="6"/>
        <v>0</v>
      </c>
      <c r="T12" s="4">
        <f t="shared" si="6"/>
        <v>-0.5</v>
      </c>
      <c r="U12" s="4">
        <f t="shared" si="6"/>
        <v>0</v>
      </c>
      <c r="V12" s="4">
        <f t="shared" si="6"/>
        <v>0</v>
      </c>
      <c r="W12" s="4">
        <f t="shared" si="7"/>
        <v>-0.5</v>
      </c>
      <c r="X12" s="59">
        <f t="shared" si="8"/>
        <v>-6.5217391304347824E-2</v>
      </c>
      <c r="Y12" s="4"/>
      <c r="Z12" s="4" t="str">
        <f>+FormularioFODA!B15</f>
        <v>3 - Certificaciones y normas de producto. Se considera favorable si la empresa posee, o tiene en trámite, las certificaciones que exige el destino (p. ej., FSC/PEFC, orgánico, BPM/HACCP, normas técnicas).</v>
      </c>
    </row>
    <row r="13" spans="1:26" x14ac:dyDescent="0.25">
      <c r="A13" s="4"/>
      <c r="B13" s="4"/>
      <c r="C13" s="4" t="s">
        <v>287</v>
      </c>
      <c r="D13" s="4">
        <v>4</v>
      </c>
      <c r="E13" s="4">
        <f>+IF(FormularioFODA!D16="x",1,0)</f>
        <v>0</v>
      </c>
      <c r="F13" s="4">
        <f>+IF(FormularioFODA!E16="x",1,0)</f>
        <v>0</v>
      </c>
      <c r="G13" s="4">
        <f>+IF(FormularioFODA!F16="x",1,0)</f>
        <v>0</v>
      </c>
      <c r="H13" s="4">
        <f>+IF(FormularioFODA!G16="x",1,0)</f>
        <v>0</v>
      </c>
      <c r="I13" s="4">
        <f>+IF(FormularioFODA!H16="x",1,0)</f>
        <v>1</v>
      </c>
      <c r="J13" s="4">
        <f t="shared" si="2"/>
        <v>1</v>
      </c>
      <c r="K13" s="4">
        <f>+IF(FormularioFODA!J16="x",1,0)*K$2</f>
        <v>0</v>
      </c>
      <c r="L13" s="4">
        <f>+IF(FormularioFODA!K16="x",1,0)*L$2</f>
        <v>0</v>
      </c>
      <c r="M13" s="4">
        <f>+IF(FormularioFODA!L16="x",1,0)*M$2</f>
        <v>3</v>
      </c>
      <c r="N13" s="4">
        <f>+IF(FormularioFODA!M16="x",1,0)*N$2</f>
        <v>0</v>
      </c>
      <c r="O13" s="4">
        <f t="shared" si="3"/>
        <v>3</v>
      </c>
      <c r="P13" s="34">
        <f t="shared" si="4"/>
        <v>0.13043478260869565</v>
      </c>
      <c r="Q13" s="59">
        <f t="shared" si="5"/>
        <v>2.6086956521739132E-2</v>
      </c>
      <c r="R13" s="4"/>
      <c r="S13" s="4">
        <f t="shared" si="6"/>
        <v>0</v>
      </c>
      <c r="T13" s="4">
        <f t="shared" si="6"/>
        <v>0</v>
      </c>
      <c r="U13" s="4">
        <f t="shared" si="6"/>
        <v>0</v>
      </c>
      <c r="V13" s="4">
        <f t="shared" si="6"/>
        <v>1</v>
      </c>
      <c r="W13" s="4">
        <f t="shared" si="7"/>
        <v>1</v>
      </c>
      <c r="X13" s="59">
        <f t="shared" si="8"/>
        <v>0.13043478260869565</v>
      </c>
      <c r="Y13" s="4"/>
      <c r="Z13" s="4" t="str">
        <f>+FormularioFODA!B16</f>
        <v>4 - Competitividad de precio internacional. Se considera favorable si el precio FOB estimado resulta competitivo frente al de los principales oferentes en el mercado destino.</v>
      </c>
    </row>
    <row r="14" spans="1:26" x14ac:dyDescent="0.25">
      <c r="A14" s="4"/>
      <c r="B14" s="4"/>
      <c r="C14" s="4" t="s">
        <v>291</v>
      </c>
      <c r="D14" s="4">
        <v>5</v>
      </c>
      <c r="E14" s="4">
        <f>+IF(FormularioFODA!D17="x",1,0)</f>
        <v>0</v>
      </c>
      <c r="F14" s="4">
        <f>+IF(FormularioFODA!E17="x",1,0)</f>
        <v>0</v>
      </c>
      <c r="G14" s="4">
        <f>+IF(FormularioFODA!F17="x",1,0)</f>
        <v>0</v>
      </c>
      <c r="H14" s="4">
        <f>+IF(FormularioFODA!G17="x",1,0)</f>
        <v>0</v>
      </c>
      <c r="I14" s="4">
        <f>+IF(FormularioFODA!H17="x",1,0)</f>
        <v>1</v>
      </c>
      <c r="J14" s="4">
        <f t="shared" si="2"/>
        <v>1</v>
      </c>
      <c r="K14" s="4">
        <f>+IF(FormularioFODA!J17="x",1,0)*K$2</f>
        <v>0</v>
      </c>
      <c r="L14" s="4">
        <f>+IF(FormularioFODA!K17="x",1,0)*L$2</f>
        <v>0</v>
      </c>
      <c r="M14" s="4">
        <f>+IF(FormularioFODA!L17="x",1,0)*M$2</f>
        <v>0</v>
      </c>
      <c r="N14" s="4">
        <f>+IF(FormularioFODA!M17="x",1,0)*N$2</f>
        <v>4</v>
      </c>
      <c r="O14" s="4">
        <f t="shared" si="3"/>
        <v>4</v>
      </c>
      <c r="P14" s="34">
        <f t="shared" si="4"/>
        <v>0.17391304347826086</v>
      </c>
      <c r="Q14" s="59">
        <f t="shared" si="5"/>
        <v>3.4782608695652174E-2</v>
      </c>
      <c r="R14" s="4"/>
      <c r="S14" s="4">
        <f t="shared" si="6"/>
        <v>0</v>
      </c>
      <c r="T14" s="4">
        <f t="shared" si="6"/>
        <v>0</v>
      </c>
      <c r="U14" s="4">
        <f t="shared" si="6"/>
        <v>0</v>
      </c>
      <c r="V14" s="4">
        <f t="shared" si="6"/>
        <v>1</v>
      </c>
      <c r="W14" s="4">
        <f t="shared" si="7"/>
        <v>1</v>
      </c>
      <c r="X14" s="59">
        <f t="shared" si="8"/>
        <v>0.17391304347826086</v>
      </c>
      <c r="Y14" s="4"/>
      <c r="Z14" s="4" t="str">
        <f>+FormularioFODA!B17</f>
        <v>5 - Marca, presentación y material comercial. Se considera favorable si la marca está registrada y existen catálogo, ficha técnica y sitio web al menos en inglés o portugués.</v>
      </c>
    </row>
    <row r="15" spans="1:26" x14ac:dyDescent="0.25">
      <c r="A15" s="4"/>
      <c r="B15" s="4"/>
      <c r="C15" s="4" t="s">
        <v>295</v>
      </c>
      <c r="D15" s="4">
        <v>6</v>
      </c>
      <c r="E15" s="4">
        <f>+IF(FormularioFODA!D18="x",1,0)</f>
        <v>0</v>
      </c>
      <c r="F15" s="4">
        <f>+IF(FormularioFODA!E18="x",1,0)</f>
        <v>0</v>
      </c>
      <c r="G15" s="4">
        <f>+IF(FormularioFODA!F18="x",1,0)</f>
        <v>1</v>
      </c>
      <c r="H15" s="4">
        <f>+IF(FormularioFODA!G18="x",1,0)</f>
        <v>0</v>
      </c>
      <c r="I15" s="4">
        <f>+IF(FormularioFODA!H18="x",1,0)</f>
        <v>0</v>
      </c>
      <c r="J15" s="4">
        <f t="shared" si="2"/>
        <v>1</v>
      </c>
      <c r="K15" s="4">
        <f>+IF(FormularioFODA!J18="x",1,0)*K$2</f>
        <v>0</v>
      </c>
      <c r="L15" s="4">
        <f>+IF(FormularioFODA!K18="x",1,0)*L$2</f>
        <v>0</v>
      </c>
      <c r="M15" s="4">
        <f>+IF(FormularioFODA!L18="x",1,0)*M$2</f>
        <v>3</v>
      </c>
      <c r="N15" s="4">
        <f>+IF(FormularioFODA!M18="x",1,0)*N$2</f>
        <v>0</v>
      </c>
      <c r="O15" s="4">
        <f t="shared" si="3"/>
        <v>3</v>
      </c>
      <c r="P15" s="34">
        <f t="shared" si="4"/>
        <v>0.13043478260869565</v>
      </c>
      <c r="Q15" s="59">
        <f t="shared" si="5"/>
        <v>2.6086956521739132E-2</v>
      </c>
      <c r="R15" s="4"/>
      <c r="S15" s="4">
        <f t="shared" si="6"/>
        <v>0</v>
      </c>
      <c r="T15" s="4">
        <f t="shared" si="6"/>
        <v>-0.5</v>
      </c>
      <c r="U15" s="4">
        <f t="shared" si="6"/>
        <v>0</v>
      </c>
      <c r="V15" s="4">
        <f t="shared" si="6"/>
        <v>0</v>
      </c>
      <c r="W15" s="4">
        <f t="shared" si="7"/>
        <v>-0.5</v>
      </c>
      <c r="X15" s="59">
        <f t="shared" si="8"/>
        <v>-6.5217391304347824E-2</v>
      </c>
      <c r="Y15" s="4"/>
      <c r="Z15" s="4" t="str">
        <f>+FormularioFODA!B18</f>
        <v>6 - Origen e identidad regional. Se considera favorable si el origen misionero/NEA (territorio, tradición, sello o indicación geográfica) agrega valor reconocible al producto.</v>
      </c>
    </row>
    <row r="16" spans="1:26" x14ac:dyDescent="0.25">
      <c r="A16" s="4"/>
      <c r="B16" s="4"/>
      <c r="C16" s="4" t="s">
        <v>299</v>
      </c>
      <c r="D16" s="4">
        <v>7</v>
      </c>
      <c r="E16" s="4">
        <f>+IF(FormularioFODA!D19="x",1,0)</f>
        <v>0</v>
      </c>
      <c r="F16" s="4">
        <f>+IF(FormularioFODA!E19="x",1,0)</f>
        <v>1</v>
      </c>
      <c r="G16" s="4">
        <f>+IF(FormularioFODA!F19="x",1,0)</f>
        <v>0</v>
      </c>
      <c r="H16" s="4">
        <f>+IF(FormularioFODA!G19="x",1,0)</f>
        <v>0</v>
      </c>
      <c r="I16" s="4">
        <f>+IF(FormularioFODA!H19="x",1,0)</f>
        <v>0</v>
      </c>
      <c r="J16" s="4">
        <f t="shared" si="2"/>
        <v>1</v>
      </c>
      <c r="K16" s="4">
        <f>+IF(FormularioFODA!J19="x",1,0)*K$2</f>
        <v>0</v>
      </c>
      <c r="L16" s="4">
        <f>+IF(FormularioFODA!K19="x",1,0)*L$2</f>
        <v>0</v>
      </c>
      <c r="M16" s="4">
        <f>+IF(FormularioFODA!L19="x",1,0)*M$2</f>
        <v>3</v>
      </c>
      <c r="N16" s="4">
        <f>+IF(FormularioFODA!M19="x",1,0)*N$2</f>
        <v>0</v>
      </c>
      <c r="O16" s="4">
        <f t="shared" si="3"/>
        <v>3</v>
      </c>
      <c r="P16" s="34">
        <f t="shared" si="4"/>
        <v>0.13043478260869565</v>
      </c>
      <c r="Q16" s="59">
        <f t="shared" si="5"/>
        <v>2.6086956521739132E-2</v>
      </c>
      <c r="R16" s="4"/>
      <c r="S16" s="4">
        <f t="shared" si="6"/>
        <v>-1</v>
      </c>
      <c r="T16" s="4">
        <f t="shared" si="6"/>
        <v>0</v>
      </c>
      <c r="U16" s="4">
        <f t="shared" si="6"/>
        <v>0</v>
      </c>
      <c r="V16" s="4">
        <f t="shared" si="6"/>
        <v>0</v>
      </c>
      <c r="W16" s="4">
        <f t="shared" si="7"/>
        <v>-1</v>
      </c>
      <c r="X16" s="59">
        <f t="shared" si="8"/>
        <v>-0.13043478260869565</v>
      </c>
      <c r="Y16" s="4"/>
      <c r="Z16" s="4" t="str">
        <f>+FormularioFODA!B19</f>
        <v>7 - Amplitud de línea y desarrollo de nuevos productos. Se considera favorable si existe una línea suficiente para exportar y una política de adaptar o desarrollar productos para nuevos mercados.</v>
      </c>
    </row>
    <row r="17" spans="1:26" x14ac:dyDescent="0.25">
      <c r="A17" s="4"/>
      <c r="B17" s="12" t="s">
        <v>816</v>
      </c>
      <c r="C17" s="4"/>
      <c r="D17" s="4"/>
      <c r="E17" s="12">
        <f t="shared" ref="E17:Q17" si="9">SUM(E10:E16)</f>
        <v>0</v>
      </c>
      <c r="F17" s="12">
        <f t="shared" si="9"/>
        <v>1</v>
      </c>
      <c r="G17" s="12">
        <f t="shared" si="9"/>
        <v>3</v>
      </c>
      <c r="H17" s="12">
        <f t="shared" si="9"/>
        <v>1</v>
      </c>
      <c r="I17" s="12">
        <f t="shared" si="9"/>
        <v>2</v>
      </c>
      <c r="J17" s="12">
        <f t="shared" si="9"/>
        <v>7</v>
      </c>
      <c r="K17" s="12">
        <f t="shared" si="9"/>
        <v>0</v>
      </c>
      <c r="L17" s="12">
        <f t="shared" si="9"/>
        <v>0</v>
      </c>
      <c r="M17" s="12">
        <f t="shared" si="9"/>
        <v>15</v>
      </c>
      <c r="N17" s="12">
        <f t="shared" si="9"/>
        <v>8</v>
      </c>
      <c r="O17" s="12">
        <f t="shared" si="9"/>
        <v>23</v>
      </c>
      <c r="P17" s="60">
        <f t="shared" si="9"/>
        <v>1</v>
      </c>
      <c r="Q17" s="61">
        <f t="shared" si="9"/>
        <v>0.2</v>
      </c>
      <c r="R17" s="4"/>
      <c r="S17" s="4"/>
      <c r="T17" s="4"/>
      <c r="U17" s="4"/>
      <c r="V17" s="4"/>
      <c r="W17" s="4"/>
      <c r="X17" s="61">
        <f>SUM(X10:X16)</f>
        <v>2.1739130434782622E-2</v>
      </c>
      <c r="Y17" s="4"/>
      <c r="Z17" s="4"/>
    </row>
    <row r="18" spans="1:26" x14ac:dyDescent="0.25">
      <c r="A18" s="4"/>
      <c r="B18" s="4"/>
      <c r="C18" s="4"/>
      <c r="D18" s="4"/>
      <c r="E18" s="4"/>
      <c r="F18" s="4"/>
      <c r="G18" s="4"/>
      <c r="H18" s="4"/>
      <c r="I18" s="4"/>
      <c r="J18" s="4"/>
      <c r="K18" s="4"/>
      <c r="L18" s="4"/>
      <c r="M18" s="4"/>
      <c r="N18" s="4"/>
      <c r="O18" s="4"/>
      <c r="P18" s="34"/>
      <c r="Q18" s="59"/>
      <c r="R18" s="4"/>
      <c r="S18" s="4"/>
      <c r="T18" s="4"/>
      <c r="U18" s="4"/>
      <c r="V18" s="4"/>
      <c r="W18" s="4"/>
      <c r="X18" s="59"/>
      <c r="Y18" s="4"/>
      <c r="Z18" s="4"/>
    </row>
    <row r="19" spans="1:26" x14ac:dyDescent="0.25">
      <c r="A19" s="4"/>
      <c r="B19" s="4" t="str">
        <f>+FormularioFODA!B21</f>
        <v>Canales</v>
      </c>
      <c r="C19" s="4" t="s">
        <v>303</v>
      </c>
      <c r="D19" s="4">
        <v>1</v>
      </c>
      <c r="E19" s="4">
        <f>+IF(FormularioFODA!D22="x",1,0)</f>
        <v>0</v>
      </c>
      <c r="F19" s="4">
        <f>+IF(FormularioFODA!E22="x",1,0)</f>
        <v>0</v>
      </c>
      <c r="G19" s="4">
        <f>+IF(FormularioFODA!F22="x",1,0)</f>
        <v>0</v>
      </c>
      <c r="H19" s="4">
        <f>+IF(FormularioFODA!G22="x",1,0)</f>
        <v>1</v>
      </c>
      <c r="I19" s="4">
        <f>+IF(FormularioFODA!H22="x",1,0)</f>
        <v>0</v>
      </c>
      <c r="J19" s="4">
        <f>SUM(E19:I19)</f>
        <v>1</v>
      </c>
      <c r="K19" s="4">
        <f>+IF(FormularioFODA!J22="x",1,0)*K$2</f>
        <v>0</v>
      </c>
      <c r="L19" s="4">
        <f>+IF(FormularioFODA!K22="x",1,0)*L$2</f>
        <v>0</v>
      </c>
      <c r="M19" s="4">
        <f>+IF(FormularioFODA!L22="x",1,0)*M$2</f>
        <v>0</v>
      </c>
      <c r="N19" s="4">
        <f>+IF(FormularioFODA!M22="x",1,0)*N$2</f>
        <v>4</v>
      </c>
      <c r="O19" s="4">
        <f>SUM(K19:N19)</f>
        <v>4</v>
      </c>
      <c r="P19" s="34">
        <f>IF($O$24=0,0,O19/$O$24)</f>
        <v>0.22222222222222221</v>
      </c>
      <c r="Q19" s="59">
        <f>+(J19/$I$2)*P19</f>
        <v>4.4444444444444446E-2</v>
      </c>
      <c r="R19" s="4"/>
      <c r="S19" s="4">
        <f t="shared" ref="S19:V23" si="10">+F19*S$2</f>
        <v>0</v>
      </c>
      <c r="T19" s="4">
        <f t="shared" si="10"/>
        <v>0</v>
      </c>
      <c r="U19" s="4">
        <f t="shared" si="10"/>
        <v>0.5</v>
      </c>
      <c r="V19" s="4">
        <f t="shared" si="10"/>
        <v>0</v>
      </c>
      <c r="W19" s="4">
        <f>SUM(S19:V19)</f>
        <v>0.5</v>
      </c>
      <c r="X19" s="59">
        <f>+W19*P19</f>
        <v>0.1111111111111111</v>
      </c>
      <c r="Y19" s="4"/>
      <c r="Z19" s="4" t="str">
        <f>+FormularioFODA!B22</f>
        <v>1 - Canales de comercialización externos. Se considera favorable si están identificados y evaluados los canales posibles (importador, distribuidor, agente, trading, venta directa, plataformas) y se sabe cuál usar por segmento.</v>
      </c>
    </row>
    <row r="20" spans="1:26" x14ac:dyDescent="0.25">
      <c r="A20" s="4"/>
      <c r="B20" s="4"/>
      <c r="C20" s="4" t="s">
        <v>309</v>
      </c>
      <c r="D20" s="4">
        <v>2</v>
      </c>
      <c r="E20" s="4">
        <f>+IF(FormularioFODA!D23="x",1,0)</f>
        <v>0</v>
      </c>
      <c r="F20" s="4">
        <f>+IF(FormularioFODA!E23="x",1,0)</f>
        <v>1</v>
      </c>
      <c r="G20" s="4">
        <f>+IF(FormularioFODA!F23="x",1,0)</f>
        <v>0</v>
      </c>
      <c r="H20" s="4">
        <f>+IF(FormularioFODA!G23="x",1,0)</f>
        <v>0</v>
      </c>
      <c r="I20" s="4">
        <f>+IF(FormularioFODA!H23="x",1,0)</f>
        <v>0</v>
      </c>
      <c r="J20" s="4">
        <f>SUM(E20:I20)</f>
        <v>1</v>
      </c>
      <c r="K20" s="4">
        <f>+IF(FormularioFODA!J23="x",1,0)*K$2</f>
        <v>0</v>
      </c>
      <c r="L20" s="4">
        <f>+IF(FormularioFODA!K23="x",1,0)*L$2</f>
        <v>0</v>
      </c>
      <c r="M20" s="4">
        <f>+IF(FormularioFODA!L23="x",1,0)*M$2</f>
        <v>0</v>
      </c>
      <c r="N20" s="4">
        <f>+IF(FormularioFODA!M23="x",1,0)*N$2</f>
        <v>4</v>
      </c>
      <c r="O20" s="4">
        <f>SUM(K20:N20)</f>
        <v>4</v>
      </c>
      <c r="P20" s="34">
        <f>IF($O$24=0,0,O20/$O$24)</f>
        <v>0.22222222222222221</v>
      </c>
      <c r="Q20" s="59">
        <f>+(J20/$I$2)*P20</f>
        <v>4.4444444444444446E-2</v>
      </c>
      <c r="R20" s="4"/>
      <c r="S20" s="4">
        <f t="shared" si="10"/>
        <v>-1</v>
      </c>
      <c r="T20" s="4">
        <f t="shared" si="10"/>
        <v>0</v>
      </c>
      <c r="U20" s="4">
        <f t="shared" si="10"/>
        <v>0</v>
      </c>
      <c r="V20" s="4">
        <f t="shared" si="10"/>
        <v>0</v>
      </c>
      <c r="W20" s="4">
        <f>SUM(S20:V20)</f>
        <v>-1</v>
      </c>
      <c r="X20" s="59">
        <f>+W20*P20</f>
        <v>-0.22222222222222221</v>
      </c>
      <c r="Y20" s="4"/>
      <c r="Z20" s="4" t="str">
        <f>+FormularioFODA!B23</f>
        <v>2 - Presencia digital y venta online. Se considera favorable si la empresa tiene sitio web activo y perfiles comerciales, y puede responder consultas del exterior en tiempo razonable.</v>
      </c>
    </row>
    <row r="21" spans="1:26" x14ac:dyDescent="0.25">
      <c r="A21" s="4"/>
      <c r="B21" s="4"/>
      <c r="C21" s="4" t="s">
        <v>314</v>
      </c>
      <c r="D21" s="4">
        <v>3</v>
      </c>
      <c r="E21" s="4">
        <f>+IF(FormularioFODA!D24="x",1,0)</f>
        <v>0</v>
      </c>
      <c r="F21" s="4">
        <f>+IF(FormularioFODA!E24="x",1,0)</f>
        <v>1</v>
      </c>
      <c r="G21" s="4">
        <f>+IF(FormularioFODA!F24="x",1,0)</f>
        <v>0</v>
      </c>
      <c r="H21" s="4">
        <f>+IF(FormularioFODA!G24="x",1,0)</f>
        <v>0</v>
      </c>
      <c r="I21" s="4">
        <f>+IF(FormularioFODA!H24="x",1,0)</f>
        <v>0</v>
      </c>
      <c r="J21" s="4">
        <f>SUM(E21:I21)</f>
        <v>1</v>
      </c>
      <c r="K21" s="4">
        <f>+IF(FormularioFODA!J24="x",1,0)*K$2</f>
        <v>0</v>
      </c>
      <c r="L21" s="4">
        <f>+IF(FormularioFODA!K24="x",1,0)*L$2</f>
        <v>0</v>
      </c>
      <c r="M21" s="4">
        <f>+IF(FormularioFODA!L24="x",1,0)*M$2</f>
        <v>3</v>
      </c>
      <c r="N21" s="4">
        <f>+IF(FormularioFODA!M24="x",1,0)*N$2</f>
        <v>0</v>
      </c>
      <c r="O21" s="4">
        <f>SUM(K21:N21)</f>
        <v>3</v>
      </c>
      <c r="P21" s="34">
        <f>IF($O$24=0,0,O21/$O$24)</f>
        <v>0.16666666666666666</v>
      </c>
      <c r="Q21" s="59">
        <f>+(J21/$I$2)*P21</f>
        <v>3.3333333333333333E-2</v>
      </c>
      <c r="R21" s="4"/>
      <c r="S21" s="4">
        <f t="shared" si="10"/>
        <v>-1</v>
      </c>
      <c r="T21" s="4">
        <f t="shared" si="10"/>
        <v>0</v>
      </c>
      <c r="U21" s="4">
        <f t="shared" si="10"/>
        <v>0</v>
      </c>
      <c r="V21" s="4">
        <f t="shared" si="10"/>
        <v>0</v>
      </c>
      <c r="W21" s="4">
        <f>SUM(S21:V21)</f>
        <v>-1</v>
      </c>
      <c r="X21" s="59">
        <f>+W21*P21</f>
        <v>-0.16666666666666666</v>
      </c>
      <c r="Y21" s="4"/>
      <c r="Z21" s="4" t="str">
        <f>+FormularioFODA!B24</f>
        <v>3 - Promoción internacional. Se considera favorable si participa o planea participar en ferias, rondas de negocios, misiones comerciales o campañas de promoción.</v>
      </c>
    </row>
    <row r="22" spans="1:26" x14ac:dyDescent="0.25">
      <c r="A22" s="4"/>
      <c r="B22" s="4"/>
      <c r="C22" s="4" t="s">
        <v>319</v>
      </c>
      <c r="D22" s="4">
        <v>4</v>
      </c>
      <c r="E22" s="4">
        <f>+IF(FormularioFODA!D25="x",1,0)</f>
        <v>0</v>
      </c>
      <c r="F22" s="4">
        <f>+IF(FormularioFODA!E25="x",1,0)</f>
        <v>1</v>
      </c>
      <c r="G22" s="4">
        <f>+IF(FormularioFODA!F25="x",1,0)</f>
        <v>0</v>
      </c>
      <c r="H22" s="4">
        <f>+IF(FormularioFODA!G25="x",1,0)</f>
        <v>0</v>
      </c>
      <c r="I22" s="4">
        <f>+IF(FormularioFODA!H25="x",1,0)</f>
        <v>0</v>
      </c>
      <c r="J22" s="4">
        <f>SUM(E22:I22)</f>
        <v>1</v>
      </c>
      <c r="K22" s="4">
        <f>+IF(FormularioFODA!J25="x",1,0)*K$2</f>
        <v>0</v>
      </c>
      <c r="L22" s="4">
        <f>+IF(FormularioFODA!K25="x",1,0)*L$2</f>
        <v>0</v>
      </c>
      <c r="M22" s="4">
        <f>+IF(FormularioFODA!L25="x",1,0)*M$2</f>
        <v>3</v>
      </c>
      <c r="N22" s="4">
        <f>+IF(FormularioFODA!M25="x",1,0)*N$2</f>
        <v>0</v>
      </c>
      <c r="O22" s="4">
        <f>SUM(K22:N22)</f>
        <v>3</v>
      </c>
      <c r="P22" s="34">
        <f>IF($O$24=0,0,O22/$O$24)</f>
        <v>0.16666666666666666</v>
      </c>
      <c r="Q22" s="59">
        <f>+(J22/$I$2)*P22</f>
        <v>3.3333333333333333E-2</v>
      </c>
      <c r="R22" s="4"/>
      <c r="S22" s="4">
        <f t="shared" si="10"/>
        <v>-1</v>
      </c>
      <c r="T22" s="4">
        <f t="shared" si="10"/>
        <v>0</v>
      </c>
      <c r="U22" s="4">
        <f t="shared" si="10"/>
        <v>0</v>
      </c>
      <c r="V22" s="4">
        <f t="shared" si="10"/>
        <v>0</v>
      </c>
      <c r="W22" s="4">
        <f>SUM(S22:V22)</f>
        <v>-1</v>
      </c>
      <c r="X22" s="59">
        <f>+W22*P22</f>
        <v>-0.16666666666666666</v>
      </c>
      <c r="Y22" s="4"/>
      <c r="Z22" s="4" t="str">
        <f>+FormularioFODA!B25</f>
        <v>4 - Logística y embalaje de exportación. Se considera favorable si la empresa sabe cotizar bajo Incoterms, dispone de embalaje apto para transporte internacional y conoce opciones de flete y seguro.</v>
      </c>
    </row>
    <row r="23" spans="1:26" x14ac:dyDescent="0.25">
      <c r="A23" s="4"/>
      <c r="B23" s="4"/>
      <c r="C23" s="4" t="s">
        <v>324</v>
      </c>
      <c r="D23" s="4">
        <v>5</v>
      </c>
      <c r="E23" s="4">
        <f>+IF(FormularioFODA!D26="x",1,0)</f>
        <v>0</v>
      </c>
      <c r="F23" s="4">
        <f>+IF(FormularioFODA!E26="x",1,0)</f>
        <v>1</v>
      </c>
      <c r="G23" s="4">
        <f>+IF(FormularioFODA!F26="x",1,0)</f>
        <v>0</v>
      </c>
      <c r="H23" s="4">
        <f>+IF(FormularioFODA!G26="x",1,0)</f>
        <v>0</v>
      </c>
      <c r="I23" s="4">
        <f>+IF(FormularioFODA!H26="x",1,0)</f>
        <v>0</v>
      </c>
      <c r="J23" s="4">
        <f>SUM(E23:I23)</f>
        <v>1</v>
      </c>
      <c r="K23" s="4">
        <f>+IF(FormularioFODA!J26="x",1,0)*K$2</f>
        <v>0</v>
      </c>
      <c r="L23" s="4">
        <f>+IF(FormularioFODA!K26="x",1,0)*L$2</f>
        <v>0</v>
      </c>
      <c r="M23" s="4">
        <f>+IF(FormularioFODA!L26="x",1,0)*M$2</f>
        <v>0</v>
      </c>
      <c r="N23" s="4">
        <f>+IF(FormularioFODA!M26="x",1,0)*N$2</f>
        <v>4</v>
      </c>
      <c r="O23" s="4">
        <f>SUM(K23:N23)</f>
        <v>4</v>
      </c>
      <c r="P23" s="34">
        <f>IF($O$24=0,0,O23/$O$24)</f>
        <v>0.22222222222222221</v>
      </c>
      <c r="Q23" s="59">
        <f>+(J23/$I$2)*P23</f>
        <v>4.4444444444444446E-2</v>
      </c>
      <c r="R23" s="4"/>
      <c r="S23" s="4">
        <f t="shared" si="10"/>
        <v>-1</v>
      </c>
      <c r="T23" s="4">
        <f t="shared" si="10"/>
        <v>0</v>
      </c>
      <c r="U23" s="4">
        <f t="shared" si="10"/>
        <v>0</v>
      </c>
      <c r="V23" s="4">
        <f t="shared" si="10"/>
        <v>0</v>
      </c>
      <c r="W23" s="4">
        <f>SUM(S23:V23)</f>
        <v>-1</v>
      </c>
      <c r="X23" s="59">
        <f>+W23*P23</f>
        <v>-0.22222222222222221</v>
      </c>
      <c r="Y23" s="4"/>
      <c r="Z23" s="4" t="str">
        <f>+FormularioFODA!B26</f>
        <v>5 - Gestión documental y aduanera. Se considera favorable si la empresa conoce o tiene acceso a la documentación de exportación (factura, packing list, certificado de origen, permiso de embarque) y a un despachante.</v>
      </c>
    </row>
    <row r="24" spans="1:26" x14ac:dyDescent="0.25">
      <c r="A24" s="4"/>
      <c r="B24" s="12" t="s">
        <v>817</v>
      </c>
      <c r="C24" s="4"/>
      <c r="D24" s="4"/>
      <c r="E24" s="12">
        <f t="shared" ref="E24:Q24" si="11">SUM(E19:E23)</f>
        <v>0</v>
      </c>
      <c r="F24" s="12">
        <f t="shared" si="11"/>
        <v>4</v>
      </c>
      <c r="G24" s="12">
        <f t="shared" si="11"/>
        <v>0</v>
      </c>
      <c r="H24" s="12">
        <f t="shared" si="11"/>
        <v>1</v>
      </c>
      <c r="I24" s="12">
        <f t="shared" si="11"/>
        <v>0</v>
      </c>
      <c r="J24" s="12">
        <f t="shared" si="11"/>
        <v>5</v>
      </c>
      <c r="K24" s="12">
        <f t="shared" si="11"/>
        <v>0</v>
      </c>
      <c r="L24" s="12">
        <f t="shared" si="11"/>
        <v>0</v>
      </c>
      <c r="M24" s="12">
        <f t="shared" si="11"/>
        <v>6</v>
      </c>
      <c r="N24" s="12">
        <f t="shared" si="11"/>
        <v>12</v>
      </c>
      <c r="O24" s="12">
        <f t="shared" si="11"/>
        <v>18</v>
      </c>
      <c r="P24" s="60">
        <f t="shared" si="11"/>
        <v>0.99999999999999989</v>
      </c>
      <c r="Q24" s="61">
        <f t="shared" si="11"/>
        <v>0.2</v>
      </c>
      <c r="R24" s="4"/>
      <c r="S24" s="4"/>
      <c r="T24" s="4"/>
      <c r="U24" s="4"/>
      <c r="V24" s="4"/>
      <c r="W24" s="4"/>
      <c r="X24" s="61">
        <f>SUM(X19:X23)</f>
        <v>-0.66666666666666663</v>
      </c>
      <c r="Y24" s="4"/>
      <c r="Z24" s="4"/>
    </row>
    <row r="25" spans="1:26" x14ac:dyDescent="0.25">
      <c r="A25" s="4"/>
      <c r="B25" s="4"/>
      <c r="C25" s="4"/>
      <c r="D25" s="4"/>
      <c r="E25" s="4"/>
      <c r="F25" s="4"/>
      <c r="G25" s="4"/>
      <c r="H25" s="4"/>
      <c r="I25" s="4"/>
      <c r="J25" s="4"/>
      <c r="K25" s="4"/>
      <c r="L25" s="4"/>
      <c r="M25" s="4"/>
      <c r="N25" s="4"/>
      <c r="O25" s="4"/>
      <c r="P25" s="34"/>
      <c r="Q25" s="59"/>
      <c r="R25" s="4"/>
      <c r="S25" s="4"/>
      <c r="T25" s="4"/>
      <c r="U25" s="4"/>
      <c r="V25" s="4"/>
      <c r="W25" s="4"/>
      <c r="X25" s="59"/>
      <c r="Y25" s="4"/>
      <c r="Z25" s="4"/>
    </row>
    <row r="26" spans="1:26" x14ac:dyDescent="0.25">
      <c r="A26" s="4"/>
      <c r="B26" s="4" t="str">
        <f>+FormularioFODA!B28</f>
        <v>Relación con Clientes</v>
      </c>
      <c r="C26" s="4" t="s">
        <v>329</v>
      </c>
      <c r="D26" s="4">
        <v>1</v>
      </c>
      <c r="E26" s="4">
        <f>+IF(FormularioFODA!D29="x",1,0)</f>
        <v>0</v>
      </c>
      <c r="F26" s="4">
        <f>+IF(FormularioFODA!E29="x",1,0)</f>
        <v>0</v>
      </c>
      <c r="G26" s="4">
        <f>+IF(FormularioFODA!F29="x",1,0)</f>
        <v>0</v>
      </c>
      <c r="H26" s="4">
        <f>+IF(FormularioFODA!G29="x",1,0)</f>
        <v>1</v>
      </c>
      <c r="I26" s="4">
        <f>+IF(FormularioFODA!H29="x",1,0)</f>
        <v>0</v>
      </c>
      <c r="J26" s="4">
        <f>SUM(E26:I26)</f>
        <v>1</v>
      </c>
      <c r="K26" s="4">
        <f>+IF(FormularioFODA!J29="x",1,0)*K$2</f>
        <v>0</v>
      </c>
      <c r="L26" s="4">
        <f>+IF(FormularioFODA!K29="x",1,0)*L$2</f>
        <v>0</v>
      </c>
      <c r="M26" s="4">
        <f>+IF(FormularioFODA!L29="x",1,0)*M$2</f>
        <v>0</v>
      </c>
      <c r="N26" s="4">
        <f>+IF(FormularioFODA!M29="x",1,0)*N$2</f>
        <v>4</v>
      </c>
      <c r="O26" s="4">
        <f>SUM(K26:N26)</f>
        <v>4</v>
      </c>
      <c r="P26" s="34">
        <f>IF($O$31=0,0,O26/$O$31)</f>
        <v>0.23529411764705882</v>
      </c>
      <c r="Q26" s="59">
        <f>+(J26/$I$2)*P26</f>
        <v>4.7058823529411764E-2</v>
      </c>
      <c r="R26" s="4"/>
      <c r="S26" s="4">
        <f t="shared" ref="S26:V30" si="12">+F26*S$2</f>
        <v>0</v>
      </c>
      <c r="T26" s="4">
        <f t="shared" si="12"/>
        <v>0</v>
      </c>
      <c r="U26" s="4">
        <f t="shared" si="12"/>
        <v>0.5</v>
      </c>
      <c r="V26" s="4">
        <f t="shared" si="12"/>
        <v>0</v>
      </c>
      <c r="W26" s="4">
        <f>SUM(S26:V26)</f>
        <v>0.5</v>
      </c>
      <c r="X26" s="59">
        <f>+W26*P26</f>
        <v>0.11764705882352941</v>
      </c>
      <c r="Y26" s="4"/>
      <c r="Z26" s="4" t="str">
        <f>+FormularioFODA!B29</f>
        <v>1 - Atención y postventa internacional. Se considera favorable si hay un responsable y un procedimiento para atender consultas, pedidos y postventa del exterior con tiempos de respuesta definidos.</v>
      </c>
    </row>
    <row r="27" spans="1:26" x14ac:dyDescent="0.25">
      <c r="A27" s="4"/>
      <c r="B27" s="4"/>
      <c r="C27" s="4" t="s">
        <v>335</v>
      </c>
      <c r="D27" s="4">
        <v>2</v>
      </c>
      <c r="E27" s="4">
        <f>+IF(FormularioFODA!D30="x",1,0)</f>
        <v>0</v>
      </c>
      <c r="F27" s="4">
        <f>+IF(FormularioFODA!E30="x",1,0)</f>
        <v>0</v>
      </c>
      <c r="G27" s="4">
        <f>+IF(FormularioFODA!F30="x",1,0)</f>
        <v>1</v>
      </c>
      <c r="H27" s="4">
        <f>+IF(FormularioFODA!G30="x",1,0)</f>
        <v>0</v>
      </c>
      <c r="I27" s="4">
        <f>+IF(FormularioFODA!H30="x",1,0)</f>
        <v>0</v>
      </c>
      <c r="J27" s="4">
        <f>SUM(E27:I27)</f>
        <v>1</v>
      </c>
      <c r="K27" s="4">
        <f>+IF(FormularioFODA!J30="x",1,0)*K$2</f>
        <v>0</v>
      </c>
      <c r="L27" s="4">
        <f>+IF(FormularioFODA!K30="x",1,0)*L$2</f>
        <v>0</v>
      </c>
      <c r="M27" s="4">
        <f>+IF(FormularioFODA!L30="x",1,0)*M$2</f>
        <v>0</v>
      </c>
      <c r="N27" s="4">
        <f>+IF(FormularioFODA!M30="x",1,0)*N$2</f>
        <v>4</v>
      </c>
      <c r="O27" s="4">
        <f>SUM(K27:N27)</f>
        <v>4</v>
      </c>
      <c r="P27" s="34">
        <f>IF($O$31=0,0,O27/$O$31)</f>
        <v>0.23529411764705882</v>
      </c>
      <c r="Q27" s="59">
        <f>+(J27/$I$2)*P27</f>
        <v>4.7058823529411764E-2</v>
      </c>
      <c r="R27" s="4"/>
      <c r="S27" s="4">
        <f t="shared" si="12"/>
        <v>0</v>
      </c>
      <c r="T27" s="4">
        <f t="shared" si="12"/>
        <v>-0.5</v>
      </c>
      <c r="U27" s="4">
        <f t="shared" si="12"/>
        <v>0</v>
      </c>
      <c r="V27" s="4">
        <f t="shared" si="12"/>
        <v>0</v>
      </c>
      <c r="W27" s="4">
        <f>SUM(S27:V27)</f>
        <v>-0.5</v>
      </c>
      <c r="X27" s="59">
        <f>+W27*P27</f>
        <v>-0.11764705882352941</v>
      </c>
      <c r="Y27" s="4"/>
      <c r="Z27" s="4" t="str">
        <f>+FormularioFODA!B30</f>
        <v>2 - Comunicación en idioma extranjero. Se considera favorable si el personal comercial puede negociar y redactar en inglés y/o portugués, o cuenta con traductor o intérprete.</v>
      </c>
    </row>
    <row r="28" spans="1:26" x14ac:dyDescent="0.25">
      <c r="A28" s="4"/>
      <c r="B28" s="4"/>
      <c r="C28" s="4" t="s">
        <v>340</v>
      </c>
      <c r="D28" s="4">
        <v>3</v>
      </c>
      <c r="E28" s="4">
        <f>+IF(FormularioFODA!D31="x",1,0)</f>
        <v>0</v>
      </c>
      <c r="F28" s="4">
        <f>+IF(FormularioFODA!E31="x",1,0)</f>
        <v>0</v>
      </c>
      <c r="G28" s="4">
        <f>+IF(FormularioFODA!F31="x",1,0)</f>
        <v>1</v>
      </c>
      <c r="H28" s="4">
        <f>+IF(FormularioFODA!G31="x",1,0)</f>
        <v>0</v>
      </c>
      <c r="I28" s="4">
        <f>+IF(FormularioFODA!H31="x",1,0)</f>
        <v>0</v>
      </c>
      <c r="J28" s="4">
        <f>SUM(E28:I28)</f>
        <v>1</v>
      </c>
      <c r="K28" s="4">
        <f>+IF(FormularioFODA!J31="x",1,0)*K$2</f>
        <v>0</v>
      </c>
      <c r="L28" s="4">
        <f>+IF(FormularioFODA!K31="x",1,0)*L$2</f>
        <v>0</v>
      </c>
      <c r="M28" s="4">
        <f>+IF(FormularioFODA!L31="x",1,0)*M$2</f>
        <v>3</v>
      </c>
      <c r="N28" s="4">
        <f>+IF(FormularioFODA!M31="x",1,0)*N$2</f>
        <v>0</v>
      </c>
      <c r="O28" s="4">
        <f>SUM(K28:N28)</f>
        <v>3</v>
      </c>
      <c r="P28" s="34">
        <f>IF($O$31=0,0,O28/$O$31)</f>
        <v>0.17647058823529413</v>
      </c>
      <c r="Q28" s="59">
        <f>+(J28/$I$2)*P28</f>
        <v>3.529411764705883E-2</v>
      </c>
      <c r="R28" s="4"/>
      <c r="S28" s="4">
        <f t="shared" si="12"/>
        <v>0</v>
      </c>
      <c r="T28" s="4">
        <f t="shared" si="12"/>
        <v>-0.5</v>
      </c>
      <c r="U28" s="4">
        <f t="shared" si="12"/>
        <v>0</v>
      </c>
      <c r="V28" s="4">
        <f t="shared" si="12"/>
        <v>0</v>
      </c>
      <c r="W28" s="4">
        <f>SUM(S28:V28)</f>
        <v>-0.5</v>
      </c>
      <c r="X28" s="59">
        <f>+W28*P28</f>
        <v>-8.8235294117647065E-2</v>
      </c>
      <c r="Y28" s="4"/>
      <c r="Z28" s="4" t="str">
        <f>+FormularioFODA!B31</f>
        <v>3 - Contratos y condiciones con compradores. Se considera favorable si se usan contratos o condiciones de venta escritas (precio, Incoterm, forma de pago, resolución de conflictos) y se evalúa la solvencia del comprador.</v>
      </c>
    </row>
    <row r="29" spans="1:26" x14ac:dyDescent="0.25">
      <c r="A29" s="4"/>
      <c r="B29" s="4"/>
      <c r="C29" s="4" t="s">
        <v>345</v>
      </c>
      <c r="D29" s="4">
        <v>4</v>
      </c>
      <c r="E29" s="4">
        <f>+IF(FormularioFODA!D32="x",1,0)</f>
        <v>0</v>
      </c>
      <c r="F29" s="4">
        <f>+IF(FormularioFODA!E32="x",1,0)</f>
        <v>1</v>
      </c>
      <c r="G29" s="4">
        <f>+IF(FormularioFODA!F32="x",1,0)</f>
        <v>0</v>
      </c>
      <c r="H29" s="4">
        <f>+IF(FormularioFODA!G32="x",1,0)</f>
        <v>0</v>
      </c>
      <c r="I29" s="4">
        <f>+IF(FormularioFODA!H32="x",1,0)</f>
        <v>0</v>
      </c>
      <c r="J29" s="4">
        <f>SUM(E29:I29)</f>
        <v>1</v>
      </c>
      <c r="K29" s="4">
        <f>+IF(FormularioFODA!J32="x",1,0)*K$2</f>
        <v>0</v>
      </c>
      <c r="L29" s="4">
        <f>+IF(FormularioFODA!K32="x",1,0)*L$2</f>
        <v>0</v>
      </c>
      <c r="M29" s="4">
        <f>+IF(FormularioFODA!L32="x",1,0)*M$2</f>
        <v>3</v>
      </c>
      <c r="N29" s="4">
        <f>+IF(FormularioFODA!M32="x",1,0)*N$2</f>
        <v>0</v>
      </c>
      <c r="O29" s="4">
        <f>SUM(K29:N29)</f>
        <v>3</v>
      </c>
      <c r="P29" s="34">
        <f>IF($O$31=0,0,O29/$O$31)</f>
        <v>0.17647058823529413</v>
      </c>
      <c r="Q29" s="59">
        <f>+(J29/$I$2)*P29</f>
        <v>3.529411764705883E-2</v>
      </c>
      <c r="R29" s="4"/>
      <c r="S29" s="4">
        <f t="shared" si="12"/>
        <v>-1</v>
      </c>
      <c r="T29" s="4">
        <f t="shared" si="12"/>
        <v>0</v>
      </c>
      <c r="U29" s="4">
        <f t="shared" si="12"/>
        <v>0</v>
      </c>
      <c r="V29" s="4">
        <f t="shared" si="12"/>
        <v>0</v>
      </c>
      <c r="W29" s="4">
        <f>SUM(S29:V29)</f>
        <v>-1</v>
      </c>
      <c r="X29" s="59">
        <f>+W29*P29</f>
        <v>-0.17647058823529413</v>
      </c>
      <c r="Y29" s="4"/>
      <c r="Z29" s="4" t="str">
        <f>+FormularioFODA!B32</f>
        <v>4 - Fidelización y recompra. Se considera favorable si existen mecanismos para sostener la relación (seguimiento, acuerdos de abastecimiento, condiciones especiales) y hay recompra.</v>
      </c>
    </row>
    <row r="30" spans="1:26" x14ac:dyDescent="0.25">
      <c r="A30" s="4"/>
      <c r="B30" s="4"/>
      <c r="C30" s="4" t="s">
        <v>350</v>
      </c>
      <c r="D30" s="4">
        <v>5</v>
      </c>
      <c r="E30" s="4">
        <f>+IF(FormularioFODA!D33="x",1,0)</f>
        <v>0</v>
      </c>
      <c r="F30" s="4">
        <f>+IF(FormularioFODA!E33="x",1,0)</f>
        <v>0</v>
      </c>
      <c r="G30" s="4">
        <f>+IF(FormularioFODA!F33="x",1,0)</f>
        <v>1</v>
      </c>
      <c r="H30" s="4">
        <f>+IF(FormularioFODA!G33="x",1,0)</f>
        <v>0</v>
      </c>
      <c r="I30" s="4">
        <f>+IF(FormularioFODA!H33="x",1,0)</f>
        <v>0</v>
      </c>
      <c r="J30" s="4">
        <f>SUM(E30:I30)</f>
        <v>1</v>
      </c>
      <c r="K30" s="4">
        <f>+IF(FormularioFODA!J33="x",1,0)*K$2</f>
        <v>0</v>
      </c>
      <c r="L30" s="4">
        <f>+IF(FormularioFODA!K33="x",1,0)*L$2</f>
        <v>0</v>
      </c>
      <c r="M30" s="4">
        <f>+IF(FormularioFODA!L33="x",1,0)*M$2</f>
        <v>3</v>
      </c>
      <c r="N30" s="4">
        <f>+IF(FormularioFODA!M33="x",1,0)*N$2</f>
        <v>0</v>
      </c>
      <c r="O30" s="4">
        <f>SUM(K30:N30)</f>
        <v>3</v>
      </c>
      <c r="P30" s="34">
        <f>IF($O$31=0,0,O30/$O$31)</f>
        <v>0.17647058823529413</v>
      </c>
      <c r="Q30" s="59">
        <f>+(J30/$I$2)*P30</f>
        <v>3.529411764705883E-2</v>
      </c>
      <c r="R30" s="4"/>
      <c r="S30" s="4">
        <f t="shared" si="12"/>
        <v>0</v>
      </c>
      <c r="T30" s="4">
        <f t="shared" si="12"/>
        <v>-0.5</v>
      </c>
      <c r="U30" s="4">
        <f t="shared" si="12"/>
        <v>0</v>
      </c>
      <c r="V30" s="4">
        <f t="shared" si="12"/>
        <v>0</v>
      </c>
      <c r="W30" s="4">
        <f>SUM(S30:V30)</f>
        <v>-0.5</v>
      </c>
      <c r="X30" s="59">
        <f>+W30*P30</f>
        <v>-8.8235294117647065E-2</v>
      </c>
      <c r="Y30" s="4"/>
      <c r="Z30" s="4" t="str">
        <f>+FormularioFODA!B33</f>
        <v>5 - Gestión de reclamos y devoluciones. Se considera favorable si hay un procedimiento para reclamos, cambios y devoluciones que resuelve los casos sin pérdida relevante del cliente.</v>
      </c>
    </row>
    <row r="31" spans="1:26" x14ac:dyDescent="0.25">
      <c r="A31" s="4"/>
      <c r="B31" s="12" t="s">
        <v>818</v>
      </c>
      <c r="C31" s="4"/>
      <c r="D31" s="4"/>
      <c r="E31" s="12">
        <f t="shared" ref="E31:Q31" si="13">SUM(E26:E30)</f>
        <v>0</v>
      </c>
      <c r="F31" s="12">
        <f t="shared" si="13"/>
        <v>1</v>
      </c>
      <c r="G31" s="12">
        <f t="shared" si="13"/>
        <v>3</v>
      </c>
      <c r="H31" s="12">
        <f t="shared" si="13"/>
        <v>1</v>
      </c>
      <c r="I31" s="12">
        <f t="shared" si="13"/>
        <v>0</v>
      </c>
      <c r="J31" s="12">
        <f t="shared" si="13"/>
        <v>5</v>
      </c>
      <c r="K31" s="12">
        <f t="shared" si="13"/>
        <v>0</v>
      </c>
      <c r="L31" s="12">
        <f t="shared" si="13"/>
        <v>0</v>
      </c>
      <c r="M31" s="12">
        <f t="shared" si="13"/>
        <v>9</v>
      </c>
      <c r="N31" s="12">
        <f t="shared" si="13"/>
        <v>8</v>
      </c>
      <c r="O31" s="12">
        <f t="shared" si="13"/>
        <v>17</v>
      </c>
      <c r="P31" s="60">
        <f t="shared" si="13"/>
        <v>1</v>
      </c>
      <c r="Q31" s="61">
        <f t="shared" si="13"/>
        <v>0.20000000000000004</v>
      </c>
      <c r="R31" s="4"/>
      <c r="S31" s="4"/>
      <c r="T31" s="4"/>
      <c r="U31" s="4"/>
      <c r="V31" s="4"/>
      <c r="W31" s="4"/>
      <c r="X31" s="61">
        <f>SUM(X26:X30)</f>
        <v>-0.35294117647058826</v>
      </c>
      <c r="Y31" s="4"/>
      <c r="Z31" s="4"/>
    </row>
    <row r="32" spans="1:26" x14ac:dyDescent="0.25">
      <c r="A32" s="4"/>
      <c r="B32" s="4"/>
      <c r="C32" s="4"/>
      <c r="D32" s="4"/>
      <c r="E32" s="4"/>
      <c r="F32" s="4"/>
      <c r="G32" s="4"/>
      <c r="H32" s="4"/>
      <c r="I32" s="4"/>
      <c r="J32" s="4"/>
      <c r="K32" s="4"/>
      <c r="L32" s="4"/>
      <c r="M32" s="4"/>
      <c r="N32" s="4"/>
      <c r="O32" s="4"/>
      <c r="P32" s="34"/>
      <c r="Q32" s="59"/>
      <c r="R32" s="4"/>
      <c r="S32" s="4"/>
      <c r="T32" s="4"/>
      <c r="U32" s="4"/>
      <c r="V32" s="4"/>
      <c r="W32" s="4"/>
      <c r="X32" s="59"/>
      <c r="Y32" s="4"/>
      <c r="Z32" s="4"/>
    </row>
    <row r="33" spans="1:26" x14ac:dyDescent="0.25">
      <c r="A33" s="4"/>
      <c r="B33" s="4" t="str">
        <f>+FormularioFODA!B35</f>
        <v>Fuentes de Ingresos</v>
      </c>
      <c r="C33" s="4" t="s">
        <v>354</v>
      </c>
      <c r="D33" s="4">
        <v>1</v>
      </c>
      <c r="E33" s="4">
        <f>+IF(FormularioFODA!D36="x",1,0)</f>
        <v>0</v>
      </c>
      <c r="F33" s="4">
        <f>+IF(FormularioFODA!E36="x",1,0)</f>
        <v>0</v>
      </c>
      <c r="G33" s="4">
        <f>+IF(FormularioFODA!F36="x",1,0)</f>
        <v>0</v>
      </c>
      <c r="H33" s="4">
        <f>+IF(FormularioFODA!G36="x",1,0)</f>
        <v>1</v>
      </c>
      <c r="I33" s="4">
        <f>+IF(FormularioFODA!H36="x",1,0)</f>
        <v>0</v>
      </c>
      <c r="J33" s="4">
        <f t="shared" ref="J33:J38" si="14">SUM(E33:I33)</f>
        <v>1</v>
      </c>
      <c r="K33" s="4">
        <f>+IF(FormularioFODA!J36="x",1,0)*K$2</f>
        <v>0</v>
      </c>
      <c r="L33" s="4">
        <f>+IF(FormularioFODA!K36="x",1,0)*L$2</f>
        <v>0</v>
      </c>
      <c r="M33" s="4">
        <f>+IF(FormularioFODA!L36="x",1,0)*M$2</f>
        <v>0</v>
      </c>
      <c r="N33" s="4">
        <f>+IF(FormularioFODA!M36="x",1,0)*N$2</f>
        <v>4</v>
      </c>
      <c r="O33" s="4">
        <f t="shared" ref="O33:O38" si="15">SUM(K33:N33)</f>
        <v>4</v>
      </c>
      <c r="P33" s="34">
        <f t="shared" ref="P33:P38" si="16">IF($O$39=0,0,O33/$O$39)</f>
        <v>0.23529411764705882</v>
      </c>
      <c r="Q33" s="59">
        <f t="shared" ref="Q33:Q38" si="17">+(J33/$I$2)*P33</f>
        <v>4.7058823529411764E-2</v>
      </c>
      <c r="R33" s="4"/>
      <c r="S33" s="4">
        <f t="shared" ref="S33:V38" si="18">+F33*S$2</f>
        <v>0</v>
      </c>
      <c r="T33" s="4">
        <f t="shared" si="18"/>
        <v>0</v>
      </c>
      <c r="U33" s="4">
        <f t="shared" si="18"/>
        <v>0.5</v>
      </c>
      <c r="V33" s="4">
        <f t="shared" si="18"/>
        <v>0</v>
      </c>
      <c r="W33" s="4">
        <f t="shared" ref="W33:W38" si="19">SUM(S33:V33)</f>
        <v>0.5</v>
      </c>
      <c r="X33" s="59">
        <f t="shared" ref="X33:X38" si="20">+W33*P33</f>
        <v>0.11764705882352941</v>
      </c>
      <c r="Y33" s="4"/>
      <c r="Z33" s="4" t="str">
        <f>+FormularioFODA!B36</f>
        <v>1 - Evolución de ventas. Se considera favorable si las ventas crecen o se sostienen en términos reales y hay renovación de clientes y nuevos requerimientos.</v>
      </c>
    </row>
    <row r="34" spans="1:26" x14ac:dyDescent="0.25">
      <c r="A34" s="4"/>
      <c r="B34" s="4"/>
      <c r="C34" s="4" t="s">
        <v>359</v>
      </c>
      <c r="D34" s="4">
        <v>2</v>
      </c>
      <c r="E34" s="4">
        <f>+IF(FormularioFODA!D37="x",1,0)</f>
        <v>0</v>
      </c>
      <c r="F34" s="4">
        <f>+IF(FormularioFODA!E37="x",1,0)</f>
        <v>0</v>
      </c>
      <c r="G34" s="4">
        <f>+IF(FormularioFODA!F37="x",1,0)</f>
        <v>0</v>
      </c>
      <c r="H34" s="4">
        <f>+IF(FormularioFODA!G37="x",1,0)</f>
        <v>1</v>
      </c>
      <c r="I34" s="4">
        <f>+IF(FormularioFODA!H37="x",1,0)</f>
        <v>0</v>
      </c>
      <c r="J34" s="4">
        <f t="shared" si="14"/>
        <v>1</v>
      </c>
      <c r="K34" s="4">
        <f>+IF(FormularioFODA!J37="x",1,0)*K$2</f>
        <v>0</v>
      </c>
      <c r="L34" s="4">
        <f>+IF(FormularioFODA!K37="x",1,0)*L$2</f>
        <v>0</v>
      </c>
      <c r="M34" s="4">
        <f>+IF(FormularioFODA!L37="x",1,0)*M$2</f>
        <v>3</v>
      </c>
      <c r="N34" s="4">
        <f>+IF(FormularioFODA!M37="x",1,0)*N$2</f>
        <v>0</v>
      </c>
      <c r="O34" s="4">
        <f t="shared" si="15"/>
        <v>3</v>
      </c>
      <c r="P34" s="34">
        <f t="shared" si="16"/>
        <v>0.17647058823529413</v>
      </c>
      <c r="Q34" s="59">
        <f t="shared" si="17"/>
        <v>3.529411764705883E-2</v>
      </c>
      <c r="R34" s="4"/>
      <c r="S34" s="4">
        <f t="shared" si="18"/>
        <v>0</v>
      </c>
      <c r="T34" s="4">
        <f t="shared" si="18"/>
        <v>0</v>
      </c>
      <c r="U34" s="4">
        <f t="shared" si="18"/>
        <v>0.5</v>
      </c>
      <c r="V34" s="4">
        <f t="shared" si="18"/>
        <v>0</v>
      </c>
      <c r="W34" s="4">
        <f t="shared" si="19"/>
        <v>0.5</v>
      </c>
      <c r="X34" s="59">
        <f t="shared" si="20"/>
        <v>8.8235294117647065E-2</v>
      </c>
      <c r="Y34" s="4"/>
      <c r="Z34" s="4" t="str">
        <f>+FormularioFODA!B37</f>
        <v>2 - Fijación de precio de exportación. Se considera favorable si existe un método sistematizado para construir el precio (costo, margen, flete, seguro, comisiones, impuestos) según el Incoterm.</v>
      </c>
    </row>
    <row r="35" spans="1:26" x14ac:dyDescent="0.25">
      <c r="A35" s="4"/>
      <c r="B35" s="4"/>
      <c r="C35" s="4" t="s">
        <v>364</v>
      </c>
      <c r="D35" s="4">
        <v>3</v>
      </c>
      <c r="E35" s="4">
        <f>+IF(FormularioFODA!D38="x",1,0)</f>
        <v>1</v>
      </c>
      <c r="F35" s="4">
        <f>+IF(FormularioFODA!E38="x",1,0)</f>
        <v>0</v>
      </c>
      <c r="G35" s="4">
        <f>+IF(FormularioFODA!F38="x",1,0)</f>
        <v>0</v>
      </c>
      <c r="H35" s="4">
        <f>+IF(FormularioFODA!G38="x",1,0)</f>
        <v>0</v>
      </c>
      <c r="I35" s="4">
        <f>+IF(FormularioFODA!H38="x",1,0)</f>
        <v>0</v>
      </c>
      <c r="J35" s="4">
        <f t="shared" si="14"/>
        <v>1</v>
      </c>
      <c r="K35" s="4">
        <f>+IF(FormularioFODA!J38="x",1,0)*K$2</f>
        <v>0</v>
      </c>
      <c r="L35" s="4">
        <f>+IF(FormularioFODA!K38="x",1,0)*L$2</f>
        <v>0</v>
      </c>
      <c r="M35" s="4">
        <f>+IF(FormularioFODA!L38="x",1,0)*M$2</f>
        <v>3</v>
      </c>
      <c r="N35" s="4">
        <f>+IF(FormularioFODA!M38="x",1,0)*N$2</f>
        <v>0</v>
      </c>
      <c r="O35" s="4">
        <f t="shared" si="15"/>
        <v>3</v>
      </c>
      <c r="P35" s="34">
        <f t="shared" si="16"/>
        <v>0.17647058823529413</v>
      </c>
      <c r="Q35" s="59">
        <f t="shared" si="17"/>
        <v>3.529411764705883E-2</v>
      </c>
      <c r="R35" s="4"/>
      <c r="S35" s="4">
        <f t="shared" si="18"/>
        <v>0</v>
      </c>
      <c r="T35" s="4">
        <f t="shared" si="18"/>
        <v>0</v>
      </c>
      <c r="U35" s="4">
        <f t="shared" si="18"/>
        <v>0</v>
      </c>
      <c r="V35" s="4">
        <f t="shared" si="18"/>
        <v>0</v>
      </c>
      <c r="W35" s="4">
        <f t="shared" si="19"/>
        <v>0</v>
      </c>
      <c r="X35" s="59">
        <f t="shared" si="20"/>
        <v>0</v>
      </c>
      <c r="Y35" s="4"/>
      <c r="Z35" s="4" t="str">
        <f>+FormularioFODA!B38</f>
        <v>3 - Margen del producto exportable. Se considera favorable si el margen de contribución soporta descuentos, comisiones, fletes y derechos de exportación sin quedar por debajo del margen del mercado interno.</v>
      </c>
    </row>
    <row r="36" spans="1:26" x14ac:dyDescent="0.25">
      <c r="A36" s="4"/>
      <c r="B36" s="4"/>
      <c r="C36" s="4" t="s">
        <v>369</v>
      </c>
      <c r="D36" s="4">
        <v>4</v>
      </c>
      <c r="E36" s="4">
        <f>+IF(FormularioFODA!D39="x",1,0)</f>
        <v>0</v>
      </c>
      <c r="F36" s="4">
        <f>+IF(FormularioFODA!E39="x",1,0)</f>
        <v>0</v>
      </c>
      <c r="G36" s="4">
        <f>+IF(FormularioFODA!F39="x",1,0)</f>
        <v>0</v>
      </c>
      <c r="H36" s="4">
        <f>+IF(FormularioFODA!G39="x",1,0)</f>
        <v>1</v>
      </c>
      <c r="I36" s="4">
        <f>+IF(FormularioFODA!H39="x",1,0)</f>
        <v>0</v>
      </c>
      <c r="J36" s="4">
        <f t="shared" si="14"/>
        <v>1</v>
      </c>
      <c r="K36" s="4">
        <f>+IF(FormularioFODA!J39="x",1,0)*K$2</f>
        <v>0</v>
      </c>
      <c r="L36" s="4">
        <f>+IF(FormularioFODA!K39="x",1,0)*L$2</f>
        <v>0</v>
      </c>
      <c r="M36" s="4">
        <f>+IF(FormularioFODA!L39="x",1,0)*M$2</f>
        <v>3</v>
      </c>
      <c r="N36" s="4">
        <f>+IF(FormularioFODA!M39="x",1,0)*N$2</f>
        <v>0</v>
      </c>
      <c r="O36" s="4">
        <f t="shared" si="15"/>
        <v>3</v>
      </c>
      <c r="P36" s="34">
        <f t="shared" si="16"/>
        <v>0.17647058823529413</v>
      </c>
      <c r="Q36" s="59">
        <f t="shared" si="17"/>
        <v>3.529411764705883E-2</v>
      </c>
      <c r="R36" s="4"/>
      <c r="S36" s="4">
        <f t="shared" si="18"/>
        <v>0</v>
      </c>
      <c r="T36" s="4">
        <f t="shared" si="18"/>
        <v>0</v>
      </c>
      <c r="U36" s="4">
        <f t="shared" si="18"/>
        <v>0.5</v>
      </c>
      <c r="V36" s="4">
        <f t="shared" si="18"/>
        <v>0</v>
      </c>
      <c r="W36" s="4">
        <f t="shared" si="19"/>
        <v>0.5</v>
      </c>
      <c r="X36" s="59">
        <f t="shared" si="20"/>
        <v>8.8235294117647065E-2</v>
      </c>
      <c r="Y36" s="4"/>
      <c r="Z36" s="4" t="str">
        <f>+FormularioFODA!B39</f>
        <v>4 - Medios y condiciones de cobro. Se considera favorable si la empresa conoce y puede operar instrumentos de cobro internacional (transferencia anticipada, cobranza documentaria, carta de crédito, seguro de crédito).</v>
      </c>
    </row>
    <row r="37" spans="1:26" x14ac:dyDescent="0.25">
      <c r="A37" s="4"/>
      <c r="B37" s="4"/>
      <c r="C37" s="4" t="s">
        <v>374</v>
      </c>
      <c r="D37" s="4">
        <v>5</v>
      </c>
      <c r="E37" s="4">
        <f>+IF(FormularioFODA!D40="x",1,0)</f>
        <v>0</v>
      </c>
      <c r="F37" s="4">
        <f>+IF(FormularioFODA!E40="x",1,0)</f>
        <v>0</v>
      </c>
      <c r="G37" s="4">
        <f>+IF(FormularioFODA!F40="x",1,0)</f>
        <v>0</v>
      </c>
      <c r="H37" s="4">
        <f>+IF(FormularioFODA!G40="x",1,0)</f>
        <v>1</v>
      </c>
      <c r="I37" s="4">
        <f>+IF(FormularioFODA!H40="x",1,0)</f>
        <v>0</v>
      </c>
      <c r="J37" s="4">
        <f t="shared" si="14"/>
        <v>1</v>
      </c>
      <c r="K37" s="4">
        <f>+IF(FormularioFODA!J40="x",1,0)*K$2</f>
        <v>0</v>
      </c>
      <c r="L37" s="4">
        <f>+IF(FormularioFODA!K40="x",1,0)*L$2</f>
        <v>0</v>
      </c>
      <c r="M37" s="4">
        <f>+IF(FormularioFODA!L40="x",1,0)*M$2</f>
        <v>3</v>
      </c>
      <c r="N37" s="4">
        <f>+IF(FormularioFODA!M40="x",1,0)*N$2</f>
        <v>0</v>
      </c>
      <c r="O37" s="4">
        <f t="shared" si="15"/>
        <v>3</v>
      </c>
      <c r="P37" s="34">
        <f t="shared" si="16"/>
        <v>0.17647058823529413</v>
      </c>
      <c r="Q37" s="59">
        <f t="shared" si="17"/>
        <v>3.529411764705883E-2</v>
      </c>
      <c r="R37" s="4"/>
      <c r="S37" s="4">
        <f t="shared" si="18"/>
        <v>0</v>
      </c>
      <c r="T37" s="4">
        <f t="shared" si="18"/>
        <v>0</v>
      </c>
      <c r="U37" s="4">
        <f t="shared" si="18"/>
        <v>0.5</v>
      </c>
      <c r="V37" s="4">
        <f t="shared" si="18"/>
        <v>0</v>
      </c>
      <c r="W37" s="4">
        <f t="shared" si="19"/>
        <v>0.5</v>
      </c>
      <c r="X37" s="59">
        <f t="shared" si="20"/>
        <v>8.8235294117647065E-2</v>
      </c>
      <c r="Y37" s="4"/>
      <c r="Z37" s="4" t="str">
        <f>+FormularioFODA!B40</f>
        <v>5 - Diversificación de ingresos. Se considera favorable si los ingresos no dependen de un único producto, cliente o mercado y hay margen para sumar mercados externos.</v>
      </c>
    </row>
    <row r="38" spans="1:26" x14ac:dyDescent="0.25">
      <c r="A38" s="4"/>
      <c r="B38" s="4"/>
      <c r="C38" s="4" t="s">
        <v>378</v>
      </c>
      <c r="D38" s="4">
        <v>6</v>
      </c>
      <c r="E38" s="4">
        <f>+IF(FormularioFODA!D41="x",1,0)</f>
        <v>0</v>
      </c>
      <c r="F38" s="4">
        <f>+IF(FormularioFODA!E41="x",1,0)</f>
        <v>0</v>
      </c>
      <c r="G38" s="4">
        <f>+IF(FormularioFODA!F41="x",1,0)</f>
        <v>1</v>
      </c>
      <c r="H38" s="4">
        <f>+IF(FormularioFODA!G41="x",1,0)</f>
        <v>0</v>
      </c>
      <c r="I38" s="4">
        <f>+IF(FormularioFODA!H41="x",1,0)</f>
        <v>0</v>
      </c>
      <c r="J38" s="4">
        <f t="shared" si="14"/>
        <v>1</v>
      </c>
      <c r="K38" s="4">
        <f>+IF(FormularioFODA!J41="x",1,0)*K$2</f>
        <v>1</v>
      </c>
      <c r="L38" s="4">
        <f>+IF(FormularioFODA!K41="x",1,0)*L$2</f>
        <v>0</v>
      </c>
      <c r="M38" s="4">
        <f>+IF(FormularioFODA!L41="x",1,0)*M$2</f>
        <v>0</v>
      </c>
      <c r="N38" s="4">
        <f>+IF(FormularioFODA!M41="x",1,0)*N$2</f>
        <v>0</v>
      </c>
      <c r="O38" s="4">
        <f t="shared" si="15"/>
        <v>1</v>
      </c>
      <c r="P38" s="34">
        <f t="shared" si="16"/>
        <v>5.8823529411764705E-2</v>
      </c>
      <c r="Q38" s="59">
        <f t="shared" si="17"/>
        <v>1.1764705882352941E-2</v>
      </c>
      <c r="R38" s="4"/>
      <c r="S38" s="4">
        <f t="shared" si="18"/>
        <v>0</v>
      </c>
      <c r="T38" s="4">
        <f t="shared" si="18"/>
        <v>-0.5</v>
      </c>
      <c r="U38" s="4">
        <f t="shared" si="18"/>
        <v>0</v>
      </c>
      <c r="V38" s="4">
        <f t="shared" si="18"/>
        <v>0</v>
      </c>
      <c r="W38" s="4">
        <f t="shared" si="19"/>
        <v>-0.5</v>
      </c>
      <c r="X38" s="59">
        <f t="shared" si="20"/>
        <v>-2.9411764705882353E-2</v>
      </c>
      <c r="Y38" s="4"/>
      <c r="Z38" s="4" t="str">
        <f>+FormularioFODA!B41</f>
        <v>6 - Resistencia a variaciones cambiarias. Se considera favorable si la empresa puede absorber cambios en el tipo de cambio o cubrirse (precios en dólares, costos dolarizados, coberturas).</v>
      </c>
    </row>
    <row r="39" spans="1:26" x14ac:dyDescent="0.25">
      <c r="A39" s="4"/>
      <c r="B39" s="12" t="s">
        <v>819</v>
      </c>
      <c r="C39" s="4"/>
      <c r="D39" s="4"/>
      <c r="E39" s="12">
        <f t="shared" ref="E39:Q39" si="21">SUM(E33:E38)</f>
        <v>1</v>
      </c>
      <c r="F39" s="12">
        <f t="shared" si="21"/>
        <v>0</v>
      </c>
      <c r="G39" s="12">
        <f t="shared" si="21"/>
        <v>1</v>
      </c>
      <c r="H39" s="12">
        <f t="shared" si="21"/>
        <v>4</v>
      </c>
      <c r="I39" s="12">
        <f t="shared" si="21"/>
        <v>0</v>
      </c>
      <c r="J39" s="12">
        <f t="shared" si="21"/>
        <v>6</v>
      </c>
      <c r="K39" s="12">
        <f t="shared" si="21"/>
        <v>1</v>
      </c>
      <c r="L39" s="12">
        <f t="shared" si="21"/>
        <v>0</v>
      </c>
      <c r="M39" s="12">
        <f t="shared" si="21"/>
        <v>12</v>
      </c>
      <c r="N39" s="12">
        <f t="shared" si="21"/>
        <v>4</v>
      </c>
      <c r="O39" s="12">
        <f t="shared" si="21"/>
        <v>17</v>
      </c>
      <c r="P39" s="60">
        <f t="shared" si="21"/>
        <v>1</v>
      </c>
      <c r="Q39" s="61">
        <f t="shared" si="21"/>
        <v>0.20000000000000007</v>
      </c>
      <c r="R39" s="4"/>
      <c r="S39" s="4"/>
      <c r="T39" s="4"/>
      <c r="U39" s="4"/>
      <c r="V39" s="4"/>
      <c r="W39" s="4"/>
      <c r="X39" s="61">
        <f>SUM(X33:X38)</f>
        <v>0.35294117647058826</v>
      </c>
      <c r="Y39" s="4"/>
      <c r="Z39" s="4"/>
    </row>
    <row r="40" spans="1:26" x14ac:dyDescent="0.25">
      <c r="A40" s="4"/>
      <c r="B40" s="4"/>
      <c r="C40" s="4"/>
      <c r="D40" s="4"/>
      <c r="E40" s="4"/>
      <c r="F40" s="4"/>
      <c r="G40" s="4"/>
      <c r="H40" s="4"/>
      <c r="I40" s="4"/>
      <c r="J40" s="4"/>
      <c r="K40" s="4"/>
      <c r="L40" s="4"/>
      <c r="M40" s="4"/>
      <c r="N40" s="4"/>
      <c r="O40" s="4"/>
      <c r="P40" s="34"/>
      <c r="Q40" s="59"/>
      <c r="R40" s="4"/>
      <c r="S40" s="4"/>
      <c r="T40" s="4"/>
      <c r="U40" s="4"/>
      <c r="V40" s="4"/>
      <c r="W40" s="4"/>
      <c r="X40" s="59"/>
      <c r="Y40" s="4"/>
      <c r="Z40" s="4"/>
    </row>
    <row r="41" spans="1:26" x14ac:dyDescent="0.25">
      <c r="A41" s="4"/>
      <c r="B41" s="4" t="str">
        <f>+FormularioFODA!B44</f>
        <v>Recursos Clave</v>
      </c>
      <c r="C41" s="4" t="s">
        <v>383</v>
      </c>
      <c r="D41" s="4">
        <v>1</v>
      </c>
      <c r="E41" s="4">
        <f>+IF(FormularioFODA!D45="x",1,0)</f>
        <v>0</v>
      </c>
      <c r="F41" s="4">
        <f>+IF(FormularioFODA!E45="x",1,0)</f>
        <v>0</v>
      </c>
      <c r="G41" s="4">
        <f>+IF(FormularioFODA!F45="x",1,0)</f>
        <v>0</v>
      </c>
      <c r="H41" s="4">
        <f>+IF(FormularioFODA!G45="x",1,0)</f>
        <v>1</v>
      </c>
      <c r="I41" s="4">
        <f>+IF(FormularioFODA!H45="x",1,0)</f>
        <v>0</v>
      </c>
      <c r="J41" s="4">
        <f t="shared" ref="J41:J48" si="22">SUM(E41:I41)</f>
        <v>1</v>
      </c>
      <c r="K41" s="4">
        <f>+IF(FormularioFODA!J45="x",1,0)*K$2</f>
        <v>1</v>
      </c>
      <c r="L41" s="4">
        <f>+IF(FormularioFODA!K45="x",1,0)*L$2</f>
        <v>0</v>
      </c>
      <c r="M41" s="4">
        <f>+IF(FormularioFODA!L45="x",1,0)*M$2</f>
        <v>0</v>
      </c>
      <c r="N41" s="4">
        <f>+IF(FormularioFODA!M45="x",1,0)*N$2</f>
        <v>0</v>
      </c>
      <c r="O41" s="4">
        <f t="shared" ref="O41:O48" si="23">SUM(K41:N41)</f>
        <v>1</v>
      </c>
      <c r="P41" s="34">
        <f t="shared" ref="P41:P48" si="24">IF($O$49=0,0,O41/$O$49)</f>
        <v>3.8461538461538464E-2</v>
      </c>
      <c r="Q41" s="59">
        <f t="shared" ref="Q41:Q48" si="25">+(J41/$I$2)*P41</f>
        <v>7.6923076923076927E-3</v>
      </c>
      <c r="R41" s="4"/>
      <c r="S41" s="4">
        <f t="shared" ref="S41:V48" si="26">+F41*S$2</f>
        <v>0</v>
      </c>
      <c r="T41" s="4">
        <f t="shared" si="26"/>
        <v>0</v>
      </c>
      <c r="U41" s="4">
        <f t="shared" si="26"/>
        <v>0.5</v>
      </c>
      <c r="V41" s="4">
        <f t="shared" si="26"/>
        <v>0</v>
      </c>
      <c r="W41" s="4">
        <f t="shared" ref="W41:W48" si="27">SUM(S41:V41)</f>
        <v>0.5</v>
      </c>
      <c r="X41" s="59">
        <f t="shared" ref="X41:X48" si="28">+W41*P41</f>
        <v>1.9230769230769232E-2</v>
      </c>
      <c r="Y41" s="4"/>
      <c r="Z41" s="4" t="str">
        <f>+FormularioFODA!B45</f>
        <v>1 - Capacidad instalada y ociosa. Se considera favorable si existe capacidad ociosa o ampliable de al menos 30% sin comprometer la atención del mercado actual.</v>
      </c>
    </row>
    <row r="42" spans="1:26" x14ac:dyDescent="0.25">
      <c r="A42" s="4"/>
      <c r="B42" s="4"/>
      <c r="C42" s="4" t="s">
        <v>388</v>
      </c>
      <c r="D42" s="4">
        <v>2</v>
      </c>
      <c r="E42" s="4">
        <f>+IF(FormularioFODA!D46="x",1,0)</f>
        <v>0</v>
      </c>
      <c r="F42" s="4">
        <f>+IF(FormularioFODA!E46="x",1,0)</f>
        <v>0</v>
      </c>
      <c r="G42" s="4">
        <f>+IF(FormularioFODA!F46="x",1,0)</f>
        <v>0</v>
      </c>
      <c r="H42" s="4">
        <f>+IF(FormularioFODA!G46="x",1,0)</f>
        <v>1</v>
      </c>
      <c r="I42" s="4">
        <f>+IF(FormularioFODA!H46="x",1,0)</f>
        <v>0</v>
      </c>
      <c r="J42" s="4">
        <f t="shared" si="22"/>
        <v>1</v>
      </c>
      <c r="K42" s="4">
        <f>+IF(FormularioFODA!J46="x",1,0)*K$2</f>
        <v>0</v>
      </c>
      <c r="L42" s="4">
        <f>+IF(FormularioFODA!K46="x",1,0)*L$2</f>
        <v>0</v>
      </c>
      <c r="M42" s="4">
        <f>+IF(FormularioFODA!L46="x",1,0)*M$2</f>
        <v>0</v>
      </c>
      <c r="N42" s="4">
        <f>+IF(FormularioFODA!M46="x",1,0)*N$2</f>
        <v>4</v>
      </c>
      <c r="O42" s="4">
        <f t="shared" si="23"/>
        <v>4</v>
      </c>
      <c r="P42" s="34">
        <f t="shared" si="24"/>
        <v>0.15384615384615385</v>
      </c>
      <c r="Q42" s="59">
        <f t="shared" si="25"/>
        <v>3.0769230769230771E-2</v>
      </c>
      <c r="R42" s="4"/>
      <c r="S42" s="4">
        <f t="shared" si="26"/>
        <v>0</v>
      </c>
      <c r="T42" s="4">
        <f t="shared" si="26"/>
        <v>0</v>
      </c>
      <c r="U42" s="4">
        <f t="shared" si="26"/>
        <v>0.5</v>
      </c>
      <c r="V42" s="4">
        <f t="shared" si="26"/>
        <v>0</v>
      </c>
      <c r="W42" s="4">
        <f t="shared" si="27"/>
        <v>0.5</v>
      </c>
      <c r="X42" s="59">
        <f t="shared" si="28"/>
        <v>7.6923076923076927E-2</v>
      </c>
      <c r="Y42" s="4"/>
      <c r="Z42" s="4" t="str">
        <f>+FormularioFODA!B46</f>
        <v>2 - Estado y tecnología de la maquinaria. Se considera favorable si equipos, líneas y tecnología permiten cumplir volúmenes y estándares de calidad del exterior.</v>
      </c>
    </row>
    <row r="43" spans="1:26" x14ac:dyDescent="0.25">
      <c r="A43" s="4"/>
      <c r="B43" s="4"/>
      <c r="C43" s="4" t="s">
        <v>392</v>
      </c>
      <c r="D43" s="4">
        <v>3</v>
      </c>
      <c r="E43" s="4">
        <f>+IF(FormularioFODA!D47="x",1,0)</f>
        <v>0</v>
      </c>
      <c r="F43" s="4">
        <f>+IF(FormularioFODA!E47="x",1,0)</f>
        <v>0</v>
      </c>
      <c r="G43" s="4">
        <f>+IF(FormularioFODA!F47="x",1,0)</f>
        <v>0</v>
      </c>
      <c r="H43" s="4">
        <f>+IF(FormularioFODA!G47="x",1,0)</f>
        <v>1</v>
      </c>
      <c r="I43" s="4">
        <f>+IF(FormularioFODA!H47="x",1,0)</f>
        <v>0</v>
      </c>
      <c r="J43" s="4">
        <f t="shared" si="22"/>
        <v>1</v>
      </c>
      <c r="K43" s="4">
        <f>+IF(FormularioFODA!J47="x",1,0)*K$2</f>
        <v>0</v>
      </c>
      <c r="L43" s="4">
        <f>+IF(FormularioFODA!K47="x",1,0)*L$2</f>
        <v>0</v>
      </c>
      <c r="M43" s="4">
        <f>+IF(FormularioFODA!L47="x",1,0)*M$2</f>
        <v>3</v>
      </c>
      <c r="N43" s="4">
        <f>+IF(FormularioFODA!M47="x",1,0)*N$2</f>
        <v>0</v>
      </c>
      <c r="O43" s="4">
        <f t="shared" si="23"/>
        <v>3</v>
      </c>
      <c r="P43" s="34">
        <f t="shared" si="24"/>
        <v>0.11538461538461539</v>
      </c>
      <c r="Q43" s="59">
        <f t="shared" si="25"/>
        <v>2.3076923076923078E-2</v>
      </c>
      <c r="R43" s="4"/>
      <c r="S43" s="4">
        <f t="shared" si="26"/>
        <v>0</v>
      </c>
      <c r="T43" s="4">
        <f t="shared" si="26"/>
        <v>0</v>
      </c>
      <c r="U43" s="4">
        <f t="shared" si="26"/>
        <v>0.5</v>
      </c>
      <c r="V43" s="4">
        <f t="shared" si="26"/>
        <v>0</v>
      </c>
      <c r="W43" s="4">
        <f t="shared" si="27"/>
        <v>0.5</v>
      </c>
      <c r="X43" s="59">
        <f t="shared" si="28"/>
        <v>5.7692307692307696E-2</v>
      </c>
      <c r="Y43" s="4"/>
      <c r="Z43" s="4" t="str">
        <f>+FormularioFODA!B47</f>
        <v>3 - Personal calificado. Se considera favorable si la dotación operativa está calificada para los procesos críticos y la rotación es baja.</v>
      </c>
    </row>
    <row r="44" spans="1:26" x14ac:dyDescent="0.25">
      <c r="A44" s="4"/>
      <c r="B44" s="4"/>
      <c r="C44" s="4" t="s">
        <v>396</v>
      </c>
      <c r="D44" s="4">
        <v>4</v>
      </c>
      <c r="E44" s="4">
        <f>+IF(FormularioFODA!D48="x",1,0)</f>
        <v>0</v>
      </c>
      <c r="F44" s="4">
        <f>+IF(FormularioFODA!E48="x",1,0)</f>
        <v>0</v>
      </c>
      <c r="G44" s="4">
        <f>+IF(FormularioFODA!F48="x",1,0)</f>
        <v>1</v>
      </c>
      <c r="H44" s="4">
        <f>+IF(FormularioFODA!G48="x",1,0)</f>
        <v>0</v>
      </c>
      <c r="I44" s="4">
        <f>+IF(FormularioFODA!H48="x",1,0)</f>
        <v>0</v>
      </c>
      <c r="J44" s="4">
        <f t="shared" si="22"/>
        <v>1</v>
      </c>
      <c r="K44" s="4">
        <f>+IF(FormularioFODA!J48="x",1,0)*K$2</f>
        <v>0</v>
      </c>
      <c r="L44" s="4">
        <f>+IF(FormularioFODA!K48="x",1,0)*L$2</f>
        <v>0</v>
      </c>
      <c r="M44" s="4">
        <f>+IF(FormularioFODA!L48="x",1,0)*M$2</f>
        <v>3</v>
      </c>
      <c r="N44" s="4">
        <f>+IF(FormularioFODA!M48="x",1,0)*N$2</f>
        <v>0</v>
      </c>
      <c r="O44" s="4">
        <f t="shared" si="23"/>
        <v>3</v>
      </c>
      <c r="P44" s="34">
        <f t="shared" si="24"/>
        <v>0.11538461538461539</v>
      </c>
      <c r="Q44" s="59">
        <f t="shared" si="25"/>
        <v>2.3076923076923078E-2</v>
      </c>
      <c r="R44" s="4"/>
      <c r="S44" s="4">
        <f t="shared" si="26"/>
        <v>0</v>
      </c>
      <c r="T44" s="4">
        <f t="shared" si="26"/>
        <v>-0.5</v>
      </c>
      <c r="U44" s="4">
        <f t="shared" si="26"/>
        <v>0</v>
      </c>
      <c r="V44" s="4">
        <f t="shared" si="26"/>
        <v>0</v>
      </c>
      <c r="W44" s="4">
        <f t="shared" si="27"/>
        <v>-0.5</v>
      </c>
      <c r="X44" s="59">
        <f t="shared" si="28"/>
        <v>-5.7692307692307696E-2</v>
      </c>
      <c r="Y44" s="4"/>
      <c r="Z44" s="4" t="str">
        <f>+FormularioFODA!B48</f>
        <v>4 - Formación continua y capacitación en comercio exterior. Se considera favorable si existen planes de capacitación en producción, calidad y comercio exterior, y al menos una persona con formación específica.</v>
      </c>
    </row>
    <row r="45" spans="1:26" x14ac:dyDescent="0.25">
      <c r="A45" s="4"/>
      <c r="B45" s="4"/>
      <c r="C45" s="4" t="s">
        <v>400</v>
      </c>
      <c r="D45" s="4">
        <v>5</v>
      </c>
      <c r="E45" s="4">
        <f>+IF(FormularioFODA!D49="x",1,0)</f>
        <v>0</v>
      </c>
      <c r="F45" s="4">
        <f>+IF(FormularioFODA!E49="x",1,0)</f>
        <v>0</v>
      </c>
      <c r="G45" s="4">
        <f>+IF(FormularioFODA!F49="x",1,0)</f>
        <v>1</v>
      </c>
      <c r="H45" s="4">
        <f>+IF(FormularioFODA!G49="x",1,0)</f>
        <v>0</v>
      </c>
      <c r="I45" s="4">
        <f>+IF(FormularioFODA!H49="x",1,0)</f>
        <v>0</v>
      </c>
      <c r="J45" s="4">
        <f t="shared" si="22"/>
        <v>1</v>
      </c>
      <c r="K45" s="4">
        <f>+IF(FormularioFODA!J49="x",1,0)*K$2</f>
        <v>0</v>
      </c>
      <c r="L45" s="4">
        <f>+IF(FormularioFODA!K49="x",1,0)*L$2</f>
        <v>0</v>
      </c>
      <c r="M45" s="4">
        <f>+IF(FormularioFODA!L49="x",1,0)*M$2</f>
        <v>0</v>
      </c>
      <c r="N45" s="4">
        <f>+IF(FormularioFODA!M49="x",1,0)*N$2</f>
        <v>4</v>
      </c>
      <c r="O45" s="4">
        <f t="shared" si="23"/>
        <v>4</v>
      </c>
      <c r="P45" s="34">
        <f t="shared" si="24"/>
        <v>0.15384615384615385</v>
      </c>
      <c r="Q45" s="59">
        <f t="shared" si="25"/>
        <v>3.0769230769230771E-2</v>
      </c>
      <c r="R45" s="4"/>
      <c r="S45" s="4">
        <f t="shared" si="26"/>
        <v>0</v>
      </c>
      <c r="T45" s="4">
        <f t="shared" si="26"/>
        <v>-0.5</v>
      </c>
      <c r="U45" s="4">
        <f t="shared" si="26"/>
        <v>0</v>
      </c>
      <c r="V45" s="4">
        <f t="shared" si="26"/>
        <v>0</v>
      </c>
      <c r="W45" s="4">
        <f t="shared" si="27"/>
        <v>-0.5</v>
      </c>
      <c r="X45" s="59">
        <f t="shared" si="28"/>
        <v>-7.6923076923076927E-2</v>
      </c>
      <c r="Y45" s="4"/>
      <c r="Z45" s="4" t="str">
        <f>+FormularioFODA!B49</f>
        <v>5 - Capital de trabajo y capacidad financiera. Se considera favorable si la empresa puede financiar el ciclo exportador (producción, flete, plazo de cobro) sin comprometer su operación.</v>
      </c>
    </row>
    <row r="46" spans="1:26" x14ac:dyDescent="0.25">
      <c r="A46" s="4"/>
      <c r="B46" s="4"/>
      <c r="C46" s="4" t="s">
        <v>404</v>
      </c>
      <c r="D46" s="4">
        <v>6</v>
      </c>
      <c r="E46" s="4">
        <f>+IF(FormularioFODA!D50="x",1,0)</f>
        <v>0</v>
      </c>
      <c r="F46" s="4">
        <f>+IF(FormularioFODA!E50="x",1,0)</f>
        <v>0</v>
      </c>
      <c r="G46" s="4">
        <f>+IF(FormularioFODA!F50="x",1,0)</f>
        <v>0</v>
      </c>
      <c r="H46" s="4">
        <f>+IF(FormularioFODA!G50="x",1,0)</f>
        <v>1</v>
      </c>
      <c r="I46" s="4">
        <f>+IF(FormularioFODA!H50="x",1,0)</f>
        <v>0</v>
      </c>
      <c r="J46" s="4">
        <f t="shared" si="22"/>
        <v>1</v>
      </c>
      <c r="K46" s="4">
        <f>+IF(FormularioFODA!J50="x",1,0)*K$2</f>
        <v>0</v>
      </c>
      <c r="L46" s="4">
        <f>+IF(FormularioFODA!K50="x",1,0)*L$2</f>
        <v>0</v>
      </c>
      <c r="M46" s="4">
        <f>+IF(FormularioFODA!L50="x",1,0)*M$2</f>
        <v>3</v>
      </c>
      <c r="N46" s="4">
        <f>+IF(FormularioFODA!M50="x",1,0)*N$2</f>
        <v>0</v>
      </c>
      <c r="O46" s="4">
        <f t="shared" si="23"/>
        <v>3</v>
      </c>
      <c r="P46" s="34">
        <f t="shared" si="24"/>
        <v>0.11538461538461539</v>
      </c>
      <c r="Q46" s="59">
        <f t="shared" si="25"/>
        <v>2.3076923076923078E-2</v>
      </c>
      <c r="R46" s="4"/>
      <c r="S46" s="4">
        <f t="shared" si="26"/>
        <v>0</v>
      </c>
      <c r="T46" s="4">
        <f t="shared" si="26"/>
        <v>0</v>
      </c>
      <c r="U46" s="4">
        <f t="shared" si="26"/>
        <v>0.5</v>
      </c>
      <c r="V46" s="4">
        <f t="shared" si="26"/>
        <v>0</v>
      </c>
      <c r="W46" s="4">
        <f t="shared" si="27"/>
        <v>0.5</v>
      </c>
      <c r="X46" s="59">
        <f t="shared" si="28"/>
        <v>5.7692307692307696E-2</v>
      </c>
      <c r="Y46" s="4"/>
      <c r="Z46" s="4" t="str">
        <f>+FormularioFODA!B50</f>
        <v>6 - Sistemas de información y gestión. Se considera favorable si hay sistemas (gestión, facturación, stock) que permiten emitir facturas de exportación y controlar pedidos.</v>
      </c>
    </row>
    <row r="47" spans="1:26" x14ac:dyDescent="0.25">
      <c r="A47" s="4"/>
      <c r="B47" s="4"/>
      <c r="C47" s="4" t="s">
        <v>408</v>
      </c>
      <c r="D47" s="4">
        <v>7</v>
      </c>
      <c r="E47" s="4">
        <f>+IF(FormularioFODA!D51="x",1,0)</f>
        <v>0</v>
      </c>
      <c r="F47" s="4">
        <f>+IF(FormularioFODA!E51="x",1,0)</f>
        <v>0</v>
      </c>
      <c r="G47" s="4">
        <f>+IF(FormularioFODA!F51="x",1,0)</f>
        <v>1</v>
      </c>
      <c r="H47" s="4">
        <f>+IF(FormularioFODA!G51="x",1,0)</f>
        <v>0</v>
      </c>
      <c r="I47" s="4">
        <f>+IF(FormularioFODA!H51="x",1,0)</f>
        <v>0</v>
      </c>
      <c r="J47" s="4">
        <f t="shared" si="22"/>
        <v>1</v>
      </c>
      <c r="K47" s="4">
        <f>+IF(FormularioFODA!J51="x",1,0)*K$2</f>
        <v>0</v>
      </c>
      <c r="L47" s="4">
        <f>+IF(FormularioFODA!K51="x",1,0)*L$2</f>
        <v>0</v>
      </c>
      <c r="M47" s="4">
        <f>+IF(FormularioFODA!L51="x",1,0)*M$2</f>
        <v>0</v>
      </c>
      <c r="N47" s="4">
        <f>+IF(FormularioFODA!M51="x",1,0)*N$2</f>
        <v>4</v>
      </c>
      <c r="O47" s="4">
        <f t="shared" si="23"/>
        <v>4</v>
      </c>
      <c r="P47" s="34">
        <f t="shared" si="24"/>
        <v>0.15384615384615385</v>
      </c>
      <c r="Q47" s="59">
        <f t="shared" si="25"/>
        <v>3.0769230769230771E-2</v>
      </c>
      <c r="R47" s="4"/>
      <c r="S47" s="4">
        <f t="shared" si="26"/>
        <v>0</v>
      </c>
      <c r="T47" s="4">
        <f t="shared" si="26"/>
        <v>-0.5</v>
      </c>
      <c r="U47" s="4">
        <f t="shared" si="26"/>
        <v>0</v>
      </c>
      <c r="V47" s="4">
        <f t="shared" si="26"/>
        <v>0</v>
      </c>
      <c r="W47" s="4">
        <f t="shared" si="27"/>
        <v>-0.5</v>
      </c>
      <c r="X47" s="59">
        <f t="shared" si="28"/>
        <v>-7.6923076923076927E-2</v>
      </c>
      <c r="Y47" s="4"/>
      <c r="Z47" s="4" t="str">
        <f>+FormularioFODA!B51</f>
        <v>7 - Infraestructura, depósitos y conservación. Se considera favorable si predios y depósitos aseguran conservación, orden y espacio para consolidar mercadería de exportación.</v>
      </c>
    </row>
    <row r="48" spans="1:26" x14ac:dyDescent="0.25">
      <c r="A48" s="4"/>
      <c r="B48" s="4"/>
      <c r="C48" s="4" t="s">
        <v>412</v>
      </c>
      <c r="D48" s="4">
        <v>8</v>
      </c>
      <c r="E48" s="4">
        <f>+IF(FormularioFODA!D52="x",1,0)</f>
        <v>0</v>
      </c>
      <c r="F48" s="4">
        <f>+IF(FormularioFODA!E52="x",1,0)</f>
        <v>0</v>
      </c>
      <c r="G48" s="4">
        <f>+IF(FormularioFODA!F52="x",1,0)</f>
        <v>0</v>
      </c>
      <c r="H48" s="4">
        <f>+IF(FormularioFODA!G52="x",1,0)</f>
        <v>1</v>
      </c>
      <c r="I48" s="4">
        <f>+IF(FormularioFODA!H52="x",1,0)</f>
        <v>0</v>
      </c>
      <c r="J48" s="4">
        <f t="shared" si="22"/>
        <v>1</v>
      </c>
      <c r="K48" s="4">
        <f>+IF(FormularioFODA!J52="x",1,0)*K$2</f>
        <v>0</v>
      </c>
      <c r="L48" s="4">
        <f>+IF(FormularioFODA!K52="x",1,0)*L$2</f>
        <v>0</v>
      </c>
      <c r="M48" s="4">
        <f>+IF(FormularioFODA!L52="x",1,0)*M$2</f>
        <v>0</v>
      </c>
      <c r="N48" s="4">
        <f>+IF(FormularioFODA!M52="x",1,0)*N$2</f>
        <v>4</v>
      </c>
      <c r="O48" s="4">
        <f t="shared" si="23"/>
        <v>4</v>
      </c>
      <c r="P48" s="34">
        <f t="shared" si="24"/>
        <v>0.15384615384615385</v>
      </c>
      <c r="Q48" s="59">
        <f t="shared" si="25"/>
        <v>3.0769230769230771E-2</v>
      </c>
      <c r="R48" s="4"/>
      <c r="S48" s="4">
        <f t="shared" si="26"/>
        <v>0</v>
      </c>
      <c r="T48" s="4">
        <f t="shared" si="26"/>
        <v>0</v>
      </c>
      <c r="U48" s="4">
        <f t="shared" si="26"/>
        <v>0.5</v>
      </c>
      <c r="V48" s="4">
        <f t="shared" si="26"/>
        <v>0</v>
      </c>
      <c r="W48" s="4">
        <f t="shared" si="27"/>
        <v>0.5</v>
      </c>
      <c r="X48" s="59">
        <f t="shared" si="28"/>
        <v>7.6923076923076927E-2</v>
      </c>
      <c r="Y48" s="4"/>
      <c r="Z48" s="4" t="str">
        <f>+FormularioFODA!B52</f>
        <v>8 - Habilitaciones y registros oficiales. Se considera favorable si cuenta con las habilitaciones y registros de establecimiento y producto exigidos (p. ej., SENASA, INAL/ANMAT, registros de exportador ante ARCA).</v>
      </c>
    </row>
    <row r="49" spans="1:26" x14ac:dyDescent="0.25">
      <c r="A49" s="4"/>
      <c r="B49" s="12" t="s">
        <v>820</v>
      </c>
      <c r="C49" s="4"/>
      <c r="D49" s="4"/>
      <c r="E49" s="12">
        <f t="shared" ref="E49:Q49" si="29">SUM(E41:E48)</f>
        <v>0</v>
      </c>
      <c r="F49" s="12">
        <f t="shared" si="29"/>
        <v>0</v>
      </c>
      <c r="G49" s="12">
        <f t="shared" si="29"/>
        <v>3</v>
      </c>
      <c r="H49" s="12">
        <f t="shared" si="29"/>
        <v>5</v>
      </c>
      <c r="I49" s="12">
        <f t="shared" si="29"/>
        <v>0</v>
      </c>
      <c r="J49" s="12">
        <f t="shared" si="29"/>
        <v>8</v>
      </c>
      <c r="K49" s="12">
        <f t="shared" si="29"/>
        <v>1</v>
      </c>
      <c r="L49" s="12">
        <f t="shared" si="29"/>
        <v>0</v>
      </c>
      <c r="M49" s="12">
        <f t="shared" si="29"/>
        <v>9</v>
      </c>
      <c r="N49" s="12">
        <f t="shared" si="29"/>
        <v>16</v>
      </c>
      <c r="O49" s="12">
        <f t="shared" si="29"/>
        <v>26</v>
      </c>
      <c r="P49" s="60">
        <f t="shared" si="29"/>
        <v>1</v>
      </c>
      <c r="Q49" s="61">
        <f t="shared" si="29"/>
        <v>0.2</v>
      </c>
      <c r="R49" s="4"/>
      <c r="S49" s="4"/>
      <c r="T49" s="4"/>
      <c r="U49" s="4"/>
      <c r="V49" s="4"/>
      <c r="W49" s="4"/>
      <c r="X49" s="61">
        <f>SUM(X41:X48)</f>
        <v>7.6923076923076927E-2</v>
      </c>
      <c r="Y49" s="4"/>
      <c r="Z49" s="4"/>
    </row>
    <row r="50" spans="1:26" x14ac:dyDescent="0.25">
      <c r="A50" s="4"/>
      <c r="B50" s="4"/>
      <c r="C50" s="4"/>
      <c r="D50" s="4"/>
      <c r="E50" s="4"/>
      <c r="F50" s="4"/>
      <c r="G50" s="4"/>
      <c r="H50" s="4"/>
      <c r="I50" s="4"/>
      <c r="J50" s="4"/>
      <c r="K50" s="4"/>
      <c r="L50" s="4"/>
      <c r="M50" s="4"/>
      <c r="N50" s="4"/>
      <c r="O50" s="4"/>
      <c r="P50" s="34"/>
      <c r="Q50" s="59"/>
      <c r="R50" s="4"/>
      <c r="S50" s="4"/>
      <c r="T50" s="4"/>
      <c r="U50" s="4"/>
      <c r="V50" s="4"/>
      <c r="W50" s="4"/>
      <c r="X50" s="59"/>
      <c r="Y50" s="4"/>
      <c r="Z50" s="4"/>
    </row>
    <row r="51" spans="1:26" x14ac:dyDescent="0.25">
      <c r="A51" s="4"/>
      <c r="B51" s="4" t="str">
        <f>+FormularioFODA!B54</f>
        <v>Actividades Clave</v>
      </c>
      <c r="C51" s="4" t="s">
        <v>416</v>
      </c>
      <c r="D51" s="4">
        <v>1</v>
      </c>
      <c r="E51" s="4">
        <f>+IF(FormularioFODA!D55="x",1,0)</f>
        <v>0</v>
      </c>
      <c r="F51" s="4">
        <f>+IF(FormularioFODA!E55="x",1,0)</f>
        <v>0</v>
      </c>
      <c r="G51" s="4">
        <f>+IF(FormularioFODA!F55="x",1,0)</f>
        <v>1</v>
      </c>
      <c r="H51" s="4">
        <f>+IF(FormularioFODA!G55="x",1,0)</f>
        <v>0</v>
      </c>
      <c r="I51" s="4">
        <f>+IF(FormularioFODA!H55="x",1,0)</f>
        <v>0</v>
      </c>
      <c r="J51" s="4">
        <f t="shared" ref="J51:J59" si="30">SUM(E51:I51)</f>
        <v>1</v>
      </c>
      <c r="K51" s="4">
        <f>+IF(FormularioFODA!J55="x",1,0)*K$2</f>
        <v>0</v>
      </c>
      <c r="L51" s="4">
        <f>+IF(FormularioFODA!K55="x",1,0)*L$2</f>
        <v>0</v>
      </c>
      <c r="M51" s="4">
        <f>+IF(FormularioFODA!L55="x",1,0)*M$2</f>
        <v>0</v>
      </c>
      <c r="N51" s="4">
        <f>+IF(FormularioFODA!M55="x",1,0)*N$2</f>
        <v>4</v>
      </c>
      <c r="O51" s="4">
        <f t="shared" ref="O51:O59" si="31">SUM(K51:N51)</f>
        <v>4</v>
      </c>
      <c r="P51" s="34">
        <f t="shared" ref="P51:P59" si="32">IF($O$60=0,0,O51/$O$60)</f>
        <v>0.14814814814814814</v>
      </c>
      <c r="Q51" s="59">
        <f t="shared" ref="Q51:Q59" si="33">+(J51/$I$2)*P51</f>
        <v>2.9629629629629631E-2</v>
      </c>
      <c r="R51" s="4"/>
      <c r="S51" s="4">
        <f t="shared" ref="S51:S59" si="34">+F51*S$2</f>
        <v>0</v>
      </c>
      <c r="T51" s="4">
        <f t="shared" ref="T51:T59" si="35">+G51*T$2</f>
        <v>-0.5</v>
      </c>
      <c r="U51" s="4">
        <f t="shared" ref="U51:U59" si="36">+H51*U$2</f>
        <v>0</v>
      </c>
      <c r="V51" s="4">
        <f t="shared" ref="V51:V59" si="37">+I51*V$2</f>
        <v>0</v>
      </c>
      <c r="W51" s="4">
        <f t="shared" ref="W51:W59" si="38">SUM(S51:V51)</f>
        <v>-0.5</v>
      </c>
      <c r="X51" s="59">
        <f t="shared" ref="X51:X59" si="39">+W51*P51</f>
        <v>-7.407407407407407E-2</v>
      </c>
      <c r="Y51" s="4"/>
      <c r="Z51" s="4" t="str">
        <f>+FormularioFODA!B55</f>
        <v>1 - Descripción técnica y estandarización. Se considera favorable si procesos y productos están descriptos (manuales, especificaciones, diagramas de flujo) y son reproducibles lote a lote.</v>
      </c>
    </row>
    <row r="52" spans="1:26" x14ac:dyDescent="0.25">
      <c r="A52" s="4"/>
      <c r="B52" s="4"/>
      <c r="C52" s="4" t="s">
        <v>421</v>
      </c>
      <c r="D52" s="4">
        <v>2</v>
      </c>
      <c r="E52" s="4">
        <f>+IF(FormularioFODA!D56="x",1,0)</f>
        <v>0</v>
      </c>
      <c r="F52" s="4">
        <f>+IF(FormularioFODA!E56="x",1,0)</f>
        <v>0</v>
      </c>
      <c r="G52" s="4">
        <f>+IF(FormularioFODA!F56="x",1,0)</f>
        <v>0</v>
      </c>
      <c r="H52" s="4">
        <f>+IF(FormularioFODA!G56="x",1,0)</f>
        <v>1</v>
      </c>
      <c r="I52" s="4">
        <f>+IF(FormularioFODA!H56="x",1,0)</f>
        <v>0</v>
      </c>
      <c r="J52" s="4">
        <f t="shared" si="30"/>
        <v>1</v>
      </c>
      <c r="K52" s="4">
        <f>+IF(FormularioFODA!J56="x",1,0)*K$2</f>
        <v>0</v>
      </c>
      <c r="L52" s="4">
        <f>+IF(FormularioFODA!K56="x",1,0)*L$2</f>
        <v>0</v>
      </c>
      <c r="M52" s="4">
        <f>+IF(FormularioFODA!L56="x",1,0)*M$2</f>
        <v>3</v>
      </c>
      <c r="N52" s="4">
        <f>+IF(FormularioFODA!M56="x",1,0)*N$2</f>
        <v>0</v>
      </c>
      <c r="O52" s="4">
        <f t="shared" si="31"/>
        <v>3</v>
      </c>
      <c r="P52" s="34">
        <f t="shared" si="32"/>
        <v>0.1111111111111111</v>
      </c>
      <c r="Q52" s="59">
        <f t="shared" si="33"/>
        <v>2.2222222222222223E-2</v>
      </c>
      <c r="R52" s="4"/>
      <c r="S52" s="4">
        <f t="shared" si="34"/>
        <v>0</v>
      </c>
      <c r="T52" s="4">
        <f t="shared" si="35"/>
        <v>0</v>
      </c>
      <c r="U52" s="4">
        <f t="shared" si="36"/>
        <v>0.5</v>
      </c>
      <c r="V52" s="4">
        <f t="shared" si="37"/>
        <v>0</v>
      </c>
      <c r="W52" s="4">
        <f t="shared" si="38"/>
        <v>0.5</v>
      </c>
      <c r="X52" s="59">
        <f t="shared" si="39"/>
        <v>5.5555555555555552E-2</v>
      </c>
      <c r="Y52" s="4"/>
      <c r="Z52" s="4" t="str">
        <f>+FormularioFODA!B56</f>
        <v>2 - Mantenimiento y continuidad operativa. Se considera favorable si hay mantenimiento preventivo sistematizado y no existen paradas críticas recurrentes (fallas, cortes de energía, faltantes).</v>
      </c>
    </row>
    <row r="53" spans="1:26" x14ac:dyDescent="0.25">
      <c r="A53" s="4"/>
      <c r="B53" s="4"/>
      <c r="C53" s="4" t="s">
        <v>425</v>
      </c>
      <c r="D53" s="4">
        <v>3</v>
      </c>
      <c r="E53" s="4">
        <f>+IF(FormularioFODA!D57="x",1,0)</f>
        <v>0</v>
      </c>
      <c r="F53" s="4">
        <f>+IF(FormularioFODA!E57="x",1,0)</f>
        <v>0</v>
      </c>
      <c r="G53" s="4">
        <f>+IF(FormularioFODA!F57="x",1,0)</f>
        <v>0</v>
      </c>
      <c r="H53" s="4">
        <f>+IF(FormularioFODA!G57="x",1,0)</f>
        <v>1</v>
      </c>
      <c r="I53" s="4">
        <f>+IF(FormularioFODA!H57="x",1,0)</f>
        <v>0</v>
      </c>
      <c r="J53" s="4">
        <f t="shared" si="30"/>
        <v>1</v>
      </c>
      <c r="K53" s="4">
        <f>+IF(FormularioFODA!J57="x",1,0)*K$2</f>
        <v>0</v>
      </c>
      <c r="L53" s="4">
        <f>+IF(FormularioFODA!K57="x",1,0)*L$2</f>
        <v>0</v>
      </c>
      <c r="M53" s="4">
        <f>+IF(FormularioFODA!L57="x",1,0)*M$2</f>
        <v>3</v>
      </c>
      <c r="N53" s="4">
        <f>+IF(FormularioFODA!M57="x",1,0)*N$2</f>
        <v>0</v>
      </c>
      <c r="O53" s="4">
        <f t="shared" si="31"/>
        <v>3</v>
      </c>
      <c r="P53" s="34">
        <f t="shared" si="32"/>
        <v>0.1111111111111111</v>
      </c>
      <c r="Q53" s="59">
        <f t="shared" si="33"/>
        <v>2.2222222222222223E-2</v>
      </c>
      <c r="R53" s="4"/>
      <c r="S53" s="4">
        <f t="shared" si="34"/>
        <v>0</v>
      </c>
      <c r="T53" s="4">
        <f t="shared" si="35"/>
        <v>0</v>
      </c>
      <c r="U53" s="4">
        <f t="shared" si="36"/>
        <v>0.5</v>
      </c>
      <c r="V53" s="4">
        <f t="shared" si="37"/>
        <v>0</v>
      </c>
      <c r="W53" s="4">
        <f t="shared" si="38"/>
        <v>0.5</v>
      </c>
      <c r="X53" s="59">
        <f t="shared" si="39"/>
        <v>5.5555555555555552E-2</v>
      </c>
      <c r="Y53" s="4"/>
      <c r="Z53" s="4" t="str">
        <f>+FormularioFODA!B57</f>
        <v>3 - Planificación de producción y abastecimiento. Se considera favorable si se planifica producción y aprovisionamiento con antelación y pueden comprometerse volúmenes y fechas de entrega.</v>
      </c>
    </row>
    <row r="54" spans="1:26" x14ac:dyDescent="0.25">
      <c r="A54" s="4"/>
      <c r="B54" s="4"/>
      <c r="C54" s="4" t="s">
        <v>429</v>
      </c>
      <c r="D54" s="4">
        <v>4</v>
      </c>
      <c r="E54" s="4">
        <f>+IF(FormularioFODA!D58="x",1,0)</f>
        <v>0</v>
      </c>
      <c r="F54" s="4">
        <f>+IF(FormularioFODA!E58="x",1,0)</f>
        <v>0</v>
      </c>
      <c r="G54" s="4">
        <f>+IF(FormularioFODA!F58="x",1,0)</f>
        <v>1</v>
      </c>
      <c r="H54" s="4">
        <f>+IF(FormularioFODA!G58="x",1,0)</f>
        <v>0</v>
      </c>
      <c r="I54" s="4">
        <f>+IF(FormularioFODA!H58="x",1,0)</f>
        <v>0</v>
      </c>
      <c r="J54" s="4">
        <f t="shared" si="30"/>
        <v>1</v>
      </c>
      <c r="K54" s="4">
        <f>+IF(FormularioFODA!J58="x",1,0)*K$2</f>
        <v>0</v>
      </c>
      <c r="L54" s="4">
        <f>+IF(FormularioFODA!K58="x",1,0)*L$2</f>
        <v>0</v>
      </c>
      <c r="M54" s="4">
        <f>+IF(FormularioFODA!L58="x",1,0)*M$2</f>
        <v>0</v>
      </c>
      <c r="N54" s="4">
        <f>+IF(FormularioFODA!M58="x",1,0)*N$2</f>
        <v>4</v>
      </c>
      <c r="O54" s="4">
        <f t="shared" si="31"/>
        <v>4</v>
      </c>
      <c r="P54" s="34">
        <f t="shared" si="32"/>
        <v>0.14814814814814814</v>
      </c>
      <c r="Q54" s="59">
        <f t="shared" si="33"/>
        <v>2.9629629629629631E-2</v>
      </c>
      <c r="R54" s="4"/>
      <c r="S54" s="4">
        <f t="shared" si="34"/>
        <v>0</v>
      </c>
      <c r="T54" s="4">
        <f t="shared" si="35"/>
        <v>-0.5</v>
      </c>
      <c r="U54" s="4">
        <f t="shared" si="36"/>
        <v>0</v>
      </c>
      <c r="V54" s="4">
        <f t="shared" si="37"/>
        <v>0</v>
      </c>
      <c r="W54" s="4">
        <f t="shared" si="38"/>
        <v>-0.5</v>
      </c>
      <c r="X54" s="59">
        <f t="shared" si="39"/>
        <v>-7.407407407407407E-2</v>
      </c>
      <c r="Y54" s="4"/>
      <c r="Z54" s="4" t="str">
        <f>+FormularioFODA!B58</f>
        <v>4 - Gestión de calidad. Se considera favorable si existe un sistema de calidad (controles, muestreo, normas como ISO 9001, BPM/HACCP) que asegura estándares constantes.</v>
      </c>
    </row>
    <row r="55" spans="1:26" x14ac:dyDescent="0.25">
      <c r="A55" s="4"/>
      <c r="B55" s="4"/>
      <c r="C55" s="4" t="s">
        <v>433</v>
      </c>
      <c r="D55" s="4">
        <v>5</v>
      </c>
      <c r="E55" s="4">
        <f>+IF(FormularioFODA!D59="x",1,0)</f>
        <v>0</v>
      </c>
      <c r="F55" s="4">
        <f>+IF(FormularioFODA!E59="x",1,0)</f>
        <v>0</v>
      </c>
      <c r="G55" s="4">
        <f>+IF(FormularioFODA!F59="x",1,0)</f>
        <v>1</v>
      </c>
      <c r="H55" s="4">
        <f>+IF(FormularioFODA!G59="x",1,0)</f>
        <v>0</v>
      </c>
      <c r="I55" s="4">
        <f>+IF(FormularioFODA!H59="x",1,0)</f>
        <v>0</v>
      </c>
      <c r="J55" s="4">
        <f t="shared" si="30"/>
        <v>1</v>
      </c>
      <c r="K55" s="4">
        <f>+IF(FormularioFODA!J59="x",1,0)*K$2</f>
        <v>0</v>
      </c>
      <c r="L55" s="4">
        <f>+IF(FormularioFODA!K59="x",1,0)*L$2</f>
        <v>0</v>
      </c>
      <c r="M55" s="4">
        <f>+IF(FormularioFODA!L59="x",1,0)*M$2</f>
        <v>3</v>
      </c>
      <c r="N55" s="4">
        <f>+IF(FormularioFODA!M59="x",1,0)*N$2</f>
        <v>0</v>
      </c>
      <c r="O55" s="4">
        <f t="shared" si="31"/>
        <v>3</v>
      </c>
      <c r="P55" s="34">
        <f t="shared" si="32"/>
        <v>0.1111111111111111</v>
      </c>
      <c r="Q55" s="59">
        <f t="shared" si="33"/>
        <v>2.2222222222222223E-2</v>
      </c>
      <c r="R55" s="4"/>
      <c r="S55" s="4">
        <f t="shared" si="34"/>
        <v>0</v>
      </c>
      <c r="T55" s="4">
        <f t="shared" si="35"/>
        <v>-0.5</v>
      </c>
      <c r="U55" s="4">
        <f t="shared" si="36"/>
        <v>0</v>
      </c>
      <c r="V55" s="4">
        <f t="shared" si="37"/>
        <v>0</v>
      </c>
      <c r="W55" s="4">
        <f t="shared" si="38"/>
        <v>-0.5</v>
      </c>
      <c r="X55" s="59">
        <f t="shared" si="39"/>
        <v>-5.5555555555555552E-2</v>
      </c>
      <c r="Y55" s="4"/>
      <c r="Z55" s="4" t="str">
        <f>+FormularioFODA!B59</f>
        <v>5 - Trazabilidad y control de stock. Se considera favorable si el producto se identifica por lote y origen y el inventario está sistematizado y actualizado.</v>
      </c>
    </row>
    <row r="56" spans="1:26" x14ac:dyDescent="0.25">
      <c r="A56" s="4"/>
      <c r="B56" s="4"/>
      <c r="C56" s="4" t="s">
        <v>437</v>
      </c>
      <c r="D56" s="4">
        <v>6</v>
      </c>
      <c r="E56" s="4">
        <f>+IF(FormularioFODA!D60="x",1,0)</f>
        <v>0</v>
      </c>
      <c r="F56" s="4">
        <f>+IF(FormularioFODA!E60="x",1,0)</f>
        <v>0</v>
      </c>
      <c r="G56" s="4">
        <f>+IF(FormularioFODA!F60="x",1,0)</f>
        <v>0</v>
      </c>
      <c r="H56" s="4">
        <f>+IF(FormularioFODA!G60="x",1,0)</f>
        <v>1</v>
      </c>
      <c r="I56" s="4">
        <f>+IF(FormularioFODA!H60="x",1,0)</f>
        <v>0</v>
      </c>
      <c r="J56" s="4">
        <f t="shared" si="30"/>
        <v>1</v>
      </c>
      <c r="K56" s="4">
        <f>+IF(FormularioFODA!J60="x",1,0)*K$2</f>
        <v>1</v>
      </c>
      <c r="L56" s="4">
        <f>+IF(FormularioFODA!K60="x",1,0)*L$2</f>
        <v>0</v>
      </c>
      <c r="M56" s="4">
        <f>+IF(FormularioFODA!L60="x",1,0)*M$2</f>
        <v>0</v>
      </c>
      <c r="N56" s="4">
        <f>+IF(FormularioFODA!M60="x",1,0)*N$2</f>
        <v>0</v>
      </c>
      <c r="O56" s="4">
        <f t="shared" si="31"/>
        <v>1</v>
      </c>
      <c r="P56" s="34">
        <f t="shared" si="32"/>
        <v>3.7037037037037035E-2</v>
      </c>
      <c r="Q56" s="59">
        <f t="shared" si="33"/>
        <v>7.4074074074074077E-3</v>
      </c>
      <c r="R56" s="4"/>
      <c r="S56" s="4">
        <f t="shared" si="34"/>
        <v>0</v>
      </c>
      <c r="T56" s="4">
        <f t="shared" si="35"/>
        <v>0</v>
      </c>
      <c r="U56" s="4">
        <f t="shared" si="36"/>
        <v>0.5</v>
      </c>
      <c r="V56" s="4">
        <f t="shared" si="37"/>
        <v>0</v>
      </c>
      <c r="W56" s="4">
        <f t="shared" si="38"/>
        <v>0.5</v>
      </c>
      <c r="X56" s="59">
        <f t="shared" si="39"/>
        <v>1.8518518518518517E-2</v>
      </c>
      <c r="Y56" s="4"/>
      <c r="Z56" s="4" t="str">
        <f>+FormularioFODA!B60</f>
        <v>6 - Cumplimiento de plazos de entrega. Se considera favorable si la empresa cumple sus plazos comprometidos (al menos 90% de los pedidos en fecha y completos).</v>
      </c>
    </row>
    <row r="57" spans="1:26" x14ac:dyDescent="0.25">
      <c r="A57" s="4"/>
      <c r="B57" s="4"/>
      <c r="C57" s="4" t="s">
        <v>441</v>
      </c>
      <c r="D57" s="4">
        <v>7</v>
      </c>
      <c r="E57" s="4">
        <f>+IF(FormularioFODA!D61="x",1,0)</f>
        <v>0</v>
      </c>
      <c r="F57" s="4">
        <f>+IF(FormularioFODA!E61="x",1,0)</f>
        <v>0</v>
      </c>
      <c r="G57" s="4">
        <f>+IF(FormularioFODA!F61="x",1,0)</f>
        <v>1</v>
      </c>
      <c r="H57" s="4">
        <f>+IF(FormularioFODA!G61="x",1,0)</f>
        <v>0</v>
      </c>
      <c r="I57" s="4">
        <f>+IF(FormularioFODA!H61="x",1,0)</f>
        <v>0</v>
      </c>
      <c r="J57" s="4">
        <f t="shared" si="30"/>
        <v>1</v>
      </c>
      <c r="K57" s="4">
        <f>+IF(FormularioFODA!J61="x",1,0)*K$2</f>
        <v>0</v>
      </c>
      <c r="L57" s="4">
        <f>+IF(FormularioFODA!K61="x",1,0)*L$2</f>
        <v>0</v>
      </c>
      <c r="M57" s="4">
        <f>+IF(FormularioFODA!L61="x",1,0)*M$2</f>
        <v>3</v>
      </c>
      <c r="N57" s="4">
        <f>+IF(FormularioFODA!M61="x",1,0)*N$2</f>
        <v>0</v>
      </c>
      <c r="O57" s="4">
        <f t="shared" si="31"/>
        <v>3</v>
      </c>
      <c r="P57" s="34">
        <f t="shared" si="32"/>
        <v>0.1111111111111111</v>
      </c>
      <c r="Q57" s="59">
        <f t="shared" si="33"/>
        <v>2.2222222222222223E-2</v>
      </c>
      <c r="R57" s="4"/>
      <c r="S57" s="4">
        <f t="shared" si="34"/>
        <v>0</v>
      </c>
      <c r="T57" s="4">
        <f t="shared" si="35"/>
        <v>-0.5</v>
      </c>
      <c r="U57" s="4">
        <f t="shared" si="36"/>
        <v>0</v>
      </c>
      <c r="V57" s="4">
        <f t="shared" si="37"/>
        <v>0</v>
      </c>
      <c r="W57" s="4">
        <f t="shared" si="38"/>
        <v>-0.5</v>
      </c>
      <c r="X57" s="59">
        <f t="shared" si="39"/>
        <v>-5.5555555555555552E-2</v>
      </c>
      <c r="Y57" s="4"/>
      <c r="Z57" s="4" t="str">
        <f>+FormularioFODA!B61</f>
        <v>7 - Mejora de procesos e I+D. Se considera favorable si existen planes de mejora de productividad y de desarrollo de procesos con inversión asignada.</v>
      </c>
    </row>
    <row r="58" spans="1:26" x14ac:dyDescent="0.25">
      <c r="A58" s="4"/>
      <c r="B58" s="4"/>
      <c r="C58" s="4" t="s">
        <v>445</v>
      </c>
      <c r="D58" s="4">
        <v>8</v>
      </c>
      <c r="E58" s="4">
        <f>+IF(FormularioFODA!D62="x",1,0)</f>
        <v>0</v>
      </c>
      <c r="F58" s="4">
        <f>+IF(FormularioFODA!E62="x",1,0)</f>
        <v>0</v>
      </c>
      <c r="G58" s="4">
        <f>+IF(FormularioFODA!F62="x",1,0)</f>
        <v>1</v>
      </c>
      <c r="H58" s="4">
        <f>+IF(FormularioFODA!G62="x",1,0)</f>
        <v>0</v>
      </c>
      <c r="I58" s="4">
        <f>+IF(FormularioFODA!H62="x",1,0)</f>
        <v>0</v>
      </c>
      <c r="J58" s="4">
        <f t="shared" si="30"/>
        <v>1</v>
      </c>
      <c r="K58" s="4">
        <f>+IF(FormularioFODA!J62="x",1,0)*K$2</f>
        <v>0</v>
      </c>
      <c r="L58" s="4">
        <f>+IF(FormularioFODA!K62="x",1,0)*L$2</f>
        <v>0</v>
      </c>
      <c r="M58" s="4">
        <f>+IF(FormularioFODA!L62="x",1,0)*M$2</f>
        <v>3</v>
      </c>
      <c r="N58" s="4">
        <f>+IF(FormularioFODA!M62="x",1,0)*N$2</f>
        <v>0</v>
      </c>
      <c r="O58" s="4">
        <f t="shared" si="31"/>
        <v>3</v>
      </c>
      <c r="P58" s="34">
        <f t="shared" si="32"/>
        <v>0.1111111111111111</v>
      </c>
      <c r="Q58" s="59">
        <f t="shared" si="33"/>
        <v>2.2222222222222223E-2</v>
      </c>
      <c r="R58" s="4"/>
      <c r="S58" s="4">
        <f t="shared" si="34"/>
        <v>0</v>
      </c>
      <c r="T58" s="4">
        <f t="shared" si="35"/>
        <v>-0.5</v>
      </c>
      <c r="U58" s="4">
        <f t="shared" si="36"/>
        <v>0</v>
      </c>
      <c r="V58" s="4">
        <f t="shared" si="37"/>
        <v>0</v>
      </c>
      <c r="W58" s="4">
        <f t="shared" si="38"/>
        <v>-0.5</v>
      </c>
      <c r="X58" s="59">
        <f t="shared" si="39"/>
        <v>-5.5555555555555552E-2</v>
      </c>
      <c r="Y58" s="4"/>
      <c r="Z58" s="4" t="str">
        <f>+FormularioFODA!B62</f>
        <v>8 - Gestión ambiental y de residuos. Se considera favorable si la planta cumple la normativa ambiental, gestiona residuos y efluentes y puede demostrarlo.</v>
      </c>
    </row>
    <row r="59" spans="1:26" x14ac:dyDescent="0.25">
      <c r="A59" s="4"/>
      <c r="B59" s="4"/>
      <c r="C59" s="4" t="s">
        <v>449</v>
      </c>
      <c r="D59" s="4">
        <v>9</v>
      </c>
      <c r="E59" s="4">
        <f>+IF(FormularioFODA!D63="x",1,0)</f>
        <v>0</v>
      </c>
      <c r="F59" s="4">
        <f>+IF(FormularioFODA!E63="x",1,0)</f>
        <v>1</v>
      </c>
      <c r="G59" s="4">
        <f>+IF(FormularioFODA!F63="x",1,0)</f>
        <v>0</v>
      </c>
      <c r="H59" s="4">
        <f>+IF(FormularioFODA!G63="x",1,0)</f>
        <v>0</v>
      </c>
      <c r="I59" s="4">
        <f>+IF(FormularioFODA!H63="x",1,0)</f>
        <v>0</v>
      </c>
      <c r="J59" s="4">
        <f t="shared" si="30"/>
        <v>1</v>
      </c>
      <c r="K59" s="4">
        <f>+IF(FormularioFODA!J63="x",1,0)*K$2</f>
        <v>0</v>
      </c>
      <c r="L59" s="4">
        <f>+IF(FormularioFODA!K63="x",1,0)*L$2</f>
        <v>0</v>
      </c>
      <c r="M59" s="4">
        <f>+IF(FormularioFODA!L63="x",1,0)*M$2</f>
        <v>3</v>
      </c>
      <c r="N59" s="4">
        <f>+IF(FormularioFODA!M63="x",1,0)*N$2</f>
        <v>0</v>
      </c>
      <c r="O59" s="4">
        <f t="shared" si="31"/>
        <v>3</v>
      </c>
      <c r="P59" s="34">
        <f t="shared" si="32"/>
        <v>0.1111111111111111</v>
      </c>
      <c r="Q59" s="59">
        <f t="shared" si="33"/>
        <v>2.2222222222222223E-2</v>
      </c>
      <c r="R59" s="4"/>
      <c r="S59" s="4">
        <f t="shared" si="34"/>
        <v>-1</v>
      </c>
      <c r="T59" s="4">
        <f t="shared" si="35"/>
        <v>0</v>
      </c>
      <c r="U59" s="4">
        <f t="shared" si="36"/>
        <v>0</v>
      </c>
      <c r="V59" s="4">
        <f t="shared" si="37"/>
        <v>0</v>
      </c>
      <c r="W59" s="4">
        <f t="shared" si="38"/>
        <v>-1</v>
      </c>
      <c r="X59" s="59">
        <f t="shared" si="39"/>
        <v>-0.1111111111111111</v>
      </c>
      <c r="Y59" s="4"/>
      <c r="Z59" s="4" t="str">
        <f>+FormularioFODA!B63</f>
        <v>9 - Seguridad e higiene laboral. Se considera favorable si el ambiente de trabajo es seguro, limpio y organizado, con programa de seguridad e higiene y cobertura de ART.</v>
      </c>
    </row>
    <row r="60" spans="1:26" x14ac:dyDescent="0.25">
      <c r="A60" s="4"/>
      <c r="B60" s="12" t="s">
        <v>821</v>
      </c>
      <c r="C60" s="4"/>
      <c r="D60" s="4"/>
      <c r="E60" s="12">
        <f t="shared" ref="E60:Q60" si="40">SUM(E51:E59)</f>
        <v>0</v>
      </c>
      <c r="F60" s="12">
        <f t="shared" si="40"/>
        <v>1</v>
      </c>
      <c r="G60" s="12">
        <f t="shared" si="40"/>
        <v>5</v>
      </c>
      <c r="H60" s="12">
        <f t="shared" si="40"/>
        <v>3</v>
      </c>
      <c r="I60" s="12">
        <f t="shared" si="40"/>
        <v>0</v>
      </c>
      <c r="J60" s="12">
        <f t="shared" si="40"/>
        <v>9</v>
      </c>
      <c r="K60" s="12">
        <f t="shared" si="40"/>
        <v>1</v>
      </c>
      <c r="L60" s="12">
        <f t="shared" si="40"/>
        <v>0</v>
      </c>
      <c r="M60" s="12">
        <f t="shared" si="40"/>
        <v>18</v>
      </c>
      <c r="N60" s="12">
        <f t="shared" si="40"/>
        <v>8</v>
      </c>
      <c r="O60" s="12">
        <f t="shared" si="40"/>
        <v>27</v>
      </c>
      <c r="P60" s="60">
        <f t="shared" si="40"/>
        <v>1</v>
      </c>
      <c r="Q60" s="61">
        <f t="shared" si="40"/>
        <v>0.20000000000000004</v>
      </c>
      <c r="R60" s="4"/>
      <c r="S60" s="4"/>
      <c r="T60" s="4"/>
      <c r="U60" s="4"/>
      <c r="V60" s="4"/>
      <c r="W60" s="4"/>
      <c r="X60" s="61">
        <f>SUM(X51:X59)</f>
        <v>-0.29629629629629628</v>
      </c>
      <c r="Y60" s="4"/>
      <c r="Z60" s="4"/>
    </row>
    <row r="61" spans="1:26" x14ac:dyDescent="0.25">
      <c r="A61" s="4"/>
      <c r="B61" s="4"/>
      <c r="C61" s="4"/>
      <c r="D61" s="4"/>
      <c r="E61" s="4"/>
      <c r="F61" s="4"/>
      <c r="G61" s="4"/>
      <c r="H61" s="4"/>
      <c r="I61" s="4"/>
      <c r="J61" s="4"/>
      <c r="K61" s="4"/>
      <c r="L61" s="4"/>
      <c r="M61" s="4"/>
      <c r="N61" s="4"/>
      <c r="O61" s="4"/>
      <c r="P61" s="34"/>
      <c r="Q61" s="59"/>
      <c r="R61" s="4"/>
      <c r="S61" s="4"/>
      <c r="T61" s="4"/>
      <c r="U61" s="4"/>
      <c r="V61" s="4"/>
      <c r="W61" s="4"/>
      <c r="X61" s="59"/>
      <c r="Y61" s="4"/>
      <c r="Z61" s="4"/>
    </row>
    <row r="62" spans="1:26" x14ac:dyDescent="0.25">
      <c r="A62" s="4"/>
      <c r="B62" s="4" t="str">
        <f>+FormularioFODA!B65</f>
        <v>Socios Clave</v>
      </c>
      <c r="C62" s="4" t="s">
        <v>453</v>
      </c>
      <c r="D62" s="4">
        <v>1</v>
      </c>
      <c r="E62" s="4">
        <f>+IF(FormularioFODA!D66="x",1,0)</f>
        <v>0</v>
      </c>
      <c r="F62" s="4">
        <f>+IF(FormularioFODA!E66="x",1,0)</f>
        <v>0</v>
      </c>
      <c r="G62" s="4">
        <f>+IF(FormularioFODA!F66="x",1,0)</f>
        <v>0</v>
      </c>
      <c r="H62" s="4">
        <f>+IF(FormularioFODA!G66="x",1,0)</f>
        <v>1</v>
      </c>
      <c r="I62" s="4">
        <f>+IF(FormularioFODA!H66="x",1,0)</f>
        <v>0</v>
      </c>
      <c r="J62" s="4">
        <f t="shared" ref="J62:J67" si="41">SUM(E62:I62)</f>
        <v>1</v>
      </c>
      <c r="K62" s="4">
        <f>+IF(FormularioFODA!J66="x",1,0)*K$2</f>
        <v>0</v>
      </c>
      <c r="L62" s="4">
        <f>+IF(FormularioFODA!K66="x",1,0)*L$2</f>
        <v>0</v>
      </c>
      <c r="M62" s="4">
        <f>+IF(FormularioFODA!L66="x",1,0)*M$2</f>
        <v>3</v>
      </c>
      <c r="N62" s="4">
        <f>+IF(FormularioFODA!M66="x",1,0)*N$2</f>
        <v>0</v>
      </c>
      <c r="O62" s="4">
        <f t="shared" ref="O62:O67" si="42">SUM(K62:N62)</f>
        <v>3</v>
      </c>
      <c r="P62" s="34">
        <f t="shared" ref="P62:P67" si="43">IF($O$68=0,0,O62/$O$68)</f>
        <v>0.14285714285714285</v>
      </c>
      <c r="Q62" s="59">
        <f t="shared" ref="Q62:Q67" si="44">+(J62/$I$2)*P62</f>
        <v>2.8571428571428571E-2</v>
      </c>
      <c r="R62" s="4"/>
      <c r="S62" s="4">
        <f t="shared" ref="S62:V67" si="45">+F62*S$2</f>
        <v>0</v>
      </c>
      <c r="T62" s="4">
        <f t="shared" si="45"/>
        <v>0</v>
      </c>
      <c r="U62" s="4">
        <f t="shared" si="45"/>
        <v>0.5</v>
      </c>
      <c r="V62" s="4">
        <f t="shared" si="45"/>
        <v>0</v>
      </c>
      <c r="W62" s="4">
        <f t="shared" ref="W62:W67" si="46">SUM(S62:V62)</f>
        <v>0.5</v>
      </c>
      <c r="X62" s="59">
        <f t="shared" ref="X62:X67" si="47">+W62*P62</f>
        <v>7.1428571428571425E-2</v>
      </c>
      <c r="Y62" s="4"/>
      <c r="Z62" s="4" t="str">
        <f>+FormularioFODA!B66</f>
        <v>1 - Proveedores estratégicos. Se considera favorable si la estrategia de compras permite negociar precio y plazo con proveedores confiables, sin depender de uno solo.</v>
      </c>
    </row>
    <row r="63" spans="1:26" x14ac:dyDescent="0.25">
      <c r="A63" s="4"/>
      <c r="B63" s="4"/>
      <c r="C63" s="4" t="s">
        <v>458</v>
      </c>
      <c r="D63" s="4">
        <v>2</v>
      </c>
      <c r="E63" s="4">
        <f>+IF(FormularioFODA!D67="x",1,0)</f>
        <v>0</v>
      </c>
      <c r="F63" s="4">
        <f>+IF(FormularioFODA!E67="x",1,0)</f>
        <v>1</v>
      </c>
      <c r="G63" s="4">
        <f>+IF(FormularioFODA!F67="x",1,0)</f>
        <v>0</v>
      </c>
      <c r="H63" s="4">
        <f>+IF(FormularioFODA!G67="x",1,0)</f>
        <v>0</v>
      </c>
      <c r="I63" s="4">
        <f>+IF(FormularioFODA!H67="x",1,0)</f>
        <v>0</v>
      </c>
      <c r="J63" s="4">
        <f t="shared" si="41"/>
        <v>1</v>
      </c>
      <c r="K63" s="4">
        <f>+IF(FormularioFODA!J67="x",1,0)*K$2</f>
        <v>0</v>
      </c>
      <c r="L63" s="4">
        <f>+IF(FormularioFODA!K67="x",1,0)*L$2</f>
        <v>0</v>
      </c>
      <c r="M63" s="4">
        <f>+IF(FormularioFODA!L67="x",1,0)*M$2</f>
        <v>0</v>
      </c>
      <c r="N63" s="4">
        <f>+IF(FormularioFODA!M67="x",1,0)*N$2</f>
        <v>4</v>
      </c>
      <c r="O63" s="4">
        <f t="shared" si="42"/>
        <v>4</v>
      </c>
      <c r="P63" s="34">
        <f t="shared" si="43"/>
        <v>0.19047619047619047</v>
      </c>
      <c r="Q63" s="59">
        <f t="shared" si="44"/>
        <v>3.8095238095238099E-2</v>
      </c>
      <c r="R63" s="4"/>
      <c r="S63" s="4">
        <f t="shared" si="45"/>
        <v>-1</v>
      </c>
      <c r="T63" s="4">
        <f t="shared" si="45"/>
        <v>0</v>
      </c>
      <c r="U63" s="4">
        <f t="shared" si="45"/>
        <v>0</v>
      </c>
      <c r="V63" s="4">
        <f t="shared" si="45"/>
        <v>0</v>
      </c>
      <c r="W63" s="4">
        <f t="shared" si="46"/>
        <v>-1</v>
      </c>
      <c r="X63" s="59">
        <f t="shared" si="47"/>
        <v>-0.19047619047619047</v>
      </c>
      <c r="Y63" s="4"/>
      <c r="Z63" s="4" t="str">
        <f>+FormularioFODA!B67</f>
        <v>2 - Alianzas comerciales. Se considera favorable si existen o son posibles acuerdos con agentes, distribuidores, otras pymes (consorcios de exportación) o traders para llegar al exterior.</v>
      </c>
    </row>
    <row r="64" spans="1:26" x14ac:dyDescent="0.25">
      <c r="A64" s="4"/>
      <c r="B64" s="4"/>
      <c r="C64" s="4" t="s">
        <v>462</v>
      </c>
      <c r="D64" s="4">
        <v>3</v>
      </c>
      <c r="E64" s="4">
        <f>+IF(FormularioFODA!D68="x",1,0)</f>
        <v>0</v>
      </c>
      <c r="F64" s="4">
        <f>+IF(FormularioFODA!E68="x",1,0)</f>
        <v>0</v>
      </c>
      <c r="G64" s="4">
        <f>+IF(FormularioFODA!F68="x",1,0)</f>
        <v>1</v>
      </c>
      <c r="H64" s="4">
        <f>+IF(FormularioFODA!G68="x",1,0)</f>
        <v>0</v>
      </c>
      <c r="I64" s="4">
        <f>+IF(FormularioFODA!H68="x",1,0)</f>
        <v>0</v>
      </c>
      <c r="J64" s="4">
        <f t="shared" si="41"/>
        <v>1</v>
      </c>
      <c r="K64" s="4">
        <f>+IF(FormularioFODA!J68="x",1,0)*K$2</f>
        <v>0</v>
      </c>
      <c r="L64" s="4">
        <f>+IF(FormularioFODA!K68="x",1,0)*L$2</f>
        <v>0</v>
      </c>
      <c r="M64" s="4">
        <f>+IF(FormularioFODA!L68="x",1,0)*M$2</f>
        <v>3</v>
      </c>
      <c r="N64" s="4">
        <f>+IF(FormularioFODA!M68="x",1,0)*N$2</f>
        <v>0</v>
      </c>
      <c r="O64" s="4">
        <f t="shared" si="42"/>
        <v>3</v>
      </c>
      <c r="P64" s="34">
        <f t="shared" si="43"/>
        <v>0.14285714285714285</v>
      </c>
      <c r="Q64" s="59">
        <f t="shared" si="44"/>
        <v>2.8571428571428571E-2</v>
      </c>
      <c r="R64" s="4"/>
      <c r="S64" s="4">
        <f t="shared" si="45"/>
        <v>0</v>
      </c>
      <c r="T64" s="4">
        <f t="shared" si="45"/>
        <v>-0.5</v>
      </c>
      <c r="U64" s="4">
        <f t="shared" si="45"/>
        <v>0</v>
      </c>
      <c r="V64" s="4">
        <f t="shared" si="45"/>
        <v>0</v>
      </c>
      <c r="W64" s="4">
        <f t="shared" si="46"/>
        <v>-0.5</v>
      </c>
      <c r="X64" s="59">
        <f t="shared" si="47"/>
        <v>-7.1428571428571425E-2</v>
      </c>
      <c r="Y64" s="4"/>
      <c r="Z64" s="4" t="str">
        <f>+FormularioFODA!B68</f>
        <v>3 - Socios logísticos y aduaneros. Se considera favorable si trabaja o puede trabajar con despachante, forwarder y transportistas confiables.</v>
      </c>
    </row>
    <row r="65" spans="1:26" x14ac:dyDescent="0.25">
      <c r="A65" s="4"/>
      <c r="B65" s="4"/>
      <c r="C65" s="4" t="s">
        <v>466</v>
      </c>
      <c r="D65" s="4">
        <v>4</v>
      </c>
      <c r="E65" s="4">
        <f>+IF(FormularioFODA!D69="x",1,0)</f>
        <v>0</v>
      </c>
      <c r="F65" s="4">
        <f>+IF(FormularioFODA!E69="x",1,0)</f>
        <v>0</v>
      </c>
      <c r="G65" s="4">
        <f>+IF(FormularioFODA!F69="x",1,0)</f>
        <v>0</v>
      </c>
      <c r="H65" s="4">
        <f>+IF(FormularioFODA!G69="x",1,0)</f>
        <v>0</v>
      </c>
      <c r="I65" s="4">
        <f>+IF(FormularioFODA!H69="x",1,0)</f>
        <v>1</v>
      </c>
      <c r="J65" s="4">
        <f t="shared" si="41"/>
        <v>1</v>
      </c>
      <c r="K65" s="4">
        <f>+IF(FormularioFODA!J69="x",1,0)*K$2</f>
        <v>0</v>
      </c>
      <c r="L65" s="4">
        <f>+IF(FormularioFODA!K69="x",1,0)*L$2</f>
        <v>0</v>
      </c>
      <c r="M65" s="4">
        <f>+IF(FormularioFODA!L69="x",1,0)*M$2</f>
        <v>3</v>
      </c>
      <c r="N65" s="4">
        <f>+IF(FormularioFODA!M69="x",1,0)*N$2</f>
        <v>0</v>
      </c>
      <c r="O65" s="4">
        <f t="shared" si="42"/>
        <v>3</v>
      </c>
      <c r="P65" s="34">
        <f t="shared" si="43"/>
        <v>0.14285714285714285</v>
      </c>
      <c r="Q65" s="59">
        <f t="shared" si="44"/>
        <v>2.8571428571428571E-2</v>
      </c>
      <c r="R65" s="4"/>
      <c r="S65" s="4">
        <f t="shared" si="45"/>
        <v>0</v>
      </c>
      <c r="T65" s="4">
        <f t="shared" si="45"/>
        <v>0</v>
      </c>
      <c r="U65" s="4">
        <f t="shared" si="45"/>
        <v>0</v>
      </c>
      <c r="V65" s="4">
        <f t="shared" si="45"/>
        <v>1</v>
      </c>
      <c r="W65" s="4">
        <f t="shared" si="46"/>
        <v>1</v>
      </c>
      <c r="X65" s="59">
        <f t="shared" si="47"/>
        <v>0.14285714285714285</v>
      </c>
      <c r="Y65" s="4"/>
      <c r="Z65" s="4" t="str">
        <f>+FormularioFODA!B69</f>
        <v>4 - Apoyo institucional. Se considera favorable si la empresa se vincula con cámaras, agencias de promoción, organismos provinciales o nacionales, INTA y universidades, y accede a programas de apoyo.</v>
      </c>
    </row>
    <row r="66" spans="1:26" x14ac:dyDescent="0.25">
      <c r="A66" s="4"/>
      <c r="B66" s="4"/>
      <c r="C66" s="4" t="s">
        <v>470</v>
      </c>
      <c r="D66" s="4">
        <v>5</v>
      </c>
      <c r="E66" s="4">
        <f>+IF(FormularioFODA!D70="x",1,0)</f>
        <v>0</v>
      </c>
      <c r="F66" s="4">
        <f>+IF(FormularioFODA!E70="x",1,0)</f>
        <v>1</v>
      </c>
      <c r="G66" s="4">
        <f>+IF(FormularioFODA!F70="x",1,0)</f>
        <v>0</v>
      </c>
      <c r="H66" s="4">
        <f>+IF(FormularioFODA!G70="x",1,0)</f>
        <v>0</v>
      </c>
      <c r="I66" s="4">
        <f>+IF(FormularioFODA!H70="x",1,0)</f>
        <v>0</v>
      </c>
      <c r="J66" s="4">
        <f t="shared" si="41"/>
        <v>1</v>
      </c>
      <c r="K66" s="4">
        <f>+IF(FormularioFODA!J70="x",1,0)*K$2</f>
        <v>0</v>
      </c>
      <c r="L66" s="4">
        <f>+IF(FormularioFODA!K70="x",1,0)*L$2</f>
        <v>0</v>
      </c>
      <c r="M66" s="4">
        <f>+IF(FormularioFODA!L70="x",1,0)*M$2</f>
        <v>0</v>
      </c>
      <c r="N66" s="4">
        <f>+IF(FormularioFODA!M70="x",1,0)*N$2</f>
        <v>4</v>
      </c>
      <c r="O66" s="4">
        <f t="shared" si="42"/>
        <v>4</v>
      </c>
      <c r="P66" s="34">
        <f t="shared" si="43"/>
        <v>0.19047619047619047</v>
      </c>
      <c r="Q66" s="59">
        <f t="shared" si="44"/>
        <v>3.8095238095238099E-2</v>
      </c>
      <c r="R66" s="4"/>
      <c r="S66" s="4">
        <f t="shared" si="45"/>
        <v>-1</v>
      </c>
      <c r="T66" s="4">
        <f t="shared" si="45"/>
        <v>0</v>
      </c>
      <c r="U66" s="4">
        <f t="shared" si="45"/>
        <v>0</v>
      </c>
      <c r="V66" s="4">
        <f t="shared" si="45"/>
        <v>0</v>
      </c>
      <c r="W66" s="4">
        <f t="shared" si="46"/>
        <v>-1</v>
      </c>
      <c r="X66" s="59">
        <f t="shared" si="47"/>
        <v>-0.19047619047619047</v>
      </c>
      <c r="Y66" s="4"/>
      <c r="Z66" s="4" t="str">
        <f>+FormularioFODA!B70</f>
        <v>5 - Socios financieros y de seguros. Se considera favorable si mantiene relación con bancos y aseguradoras con productos de comercio exterior (prefinanciación, seguros de carga y de crédito).</v>
      </c>
    </row>
    <row r="67" spans="1:26" x14ac:dyDescent="0.25">
      <c r="A67" s="4"/>
      <c r="B67" s="4"/>
      <c r="C67" s="4" t="s">
        <v>474</v>
      </c>
      <c r="D67" s="4">
        <v>6</v>
      </c>
      <c r="E67" s="4">
        <f>+IF(FormularioFODA!D71="x",1,0)</f>
        <v>0</v>
      </c>
      <c r="F67" s="4">
        <f>+IF(FormularioFODA!E71="x",1,0)</f>
        <v>0</v>
      </c>
      <c r="G67" s="4">
        <f>+IF(FormularioFODA!F71="x",1,0)</f>
        <v>0</v>
      </c>
      <c r="H67" s="4">
        <f>+IF(FormularioFODA!G71="x",1,0)</f>
        <v>0</v>
      </c>
      <c r="I67" s="4">
        <f>+IF(FormularioFODA!H71="x",1,0)</f>
        <v>1</v>
      </c>
      <c r="J67" s="4">
        <f t="shared" si="41"/>
        <v>1</v>
      </c>
      <c r="K67" s="4">
        <f>+IF(FormularioFODA!J71="x",1,0)*K$2</f>
        <v>0</v>
      </c>
      <c r="L67" s="4">
        <f>+IF(FormularioFODA!K71="x",1,0)*L$2</f>
        <v>0</v>
      </c>
      <c r="M67" s="4">
        <f>+IF(FormularioFODA!L71="x",1,0)*M$2</f>
        <v>0</v>
      </c>
      <c r="N67" s="4">
        <f>+IF(FormularioFODA!M71="x",1,0)*N$2</f>
        <v>4</v>
      </c>
      <c r="O67" s="4">
        <f t="shared" si="42"/>
        <v>4</v>
      </c>
      <c r="P67" s="34">
        <f t="shared" si="43"/>
        <v>0.19047619047619047</v>
      </c>
      <c r="Q67" s="59">
        <f t="shared" si="44"/>
        <v>3.8095238095238099E-2</v>
      </c>
      <c r="R67" s="4"/>
      <c r="S67" s="4">
        <f t="shared" si="45"/>
        <v>0</v>
      </c>
      <c r="T67" s="4">
        <f t="shared" si="45"/>
        <v>0</v>
      </c>
      <c r="U67" s="4">
        <f t="shared" si="45"/>
        <v>0</v>
      </c>
      <c r="V67" s="4">
        <f t="shared" si="45"/>
        <v>1</v>
      </c>
      <c r="W67" s="4">
        <f t="shared" si="46"/>
        <v>1</v>
      </c>
      <c r="X67" s="59">
        <f t="shared" si="47"/>
        <v>0.19047619047619047</v>
      </c>
      <c r="Y67" s="4"/>
      <c r="Z67" s="4" t="str">
        <f>+FormularioFODA!B71</f>
        <v>6 - Tercerización y subcontratación. Se considera favorable si los servicios tercerizados mantienen equilibrio entre conocimiento, costo y control de calidad, sin crear dependencia crítica.</v>
      </c>
    </row>
    <row r="68" spans="1:26" x14ac:dyDescent="0.25">
      <c r="A68" s="4"/>
      <c r="B68" s="12" t="s">
        <v>822</v>
      </c>
      <c r="C68" s="4"/>
      <c r="D68" s="4"/>
      <c r="E68" s="12">
        <f t="shared" ref="E68:Q68" si="48">SUM(E62:E67)</f>
        <v>0</v>
      </c>
      <c r="F68" s="12">
        <f t="shared" si="48"/>
        <v>2</v>
      </c>
      <c r="G68" s="12">
        <f t="shared" si="48"/>
        <v>1</v>
      </c>
      <c r="H68" s="12">
        <f t="shared" si="48"/>
        <v>1</v>
      </c>
      <c r="I68" s="12">
        <f t="shared" si="48"/>
        <v>2</v>
      </c>
      <c r="J68" s="12">
        <f t="shared" si="48"/>
        <v>6</v>
      </c>
      <c r="K68" s="12">
        <f t="shared" si="48"/>
        <v>0</v>
      </c>
      <c r="L68" s="12">
        <f t="shared" si="48"/>
        <v>0</v>
      </c>
      <c r="M68" s="12">
        <f t="shared" si="48"/>
        <v>9</v>
      </c>
      <c r="N68" s="12">
        <f t="shared" si="48"/>
        <v>12</v>
      </c>
      <c r="O68" s="12">
        <f t="shared" si="48"/>
        <v>21</v>
      </c>
      <c r="P68" s="60">
        <f t="shared" si="48"/>
        <v>1</v>
      </c>
      <c r="Q68" s="61">
        <f t="shared" si="48"/>
        <v>0.19999999999999998</v>
      </c>
      <c r="R68" s="4"/>
      <c r="S68" s="4"/>
      <c r="T68" s="4"/>
      <c r="U68" s="4"/>
      <c r="V68" s="4"/>
      <c r="W68" s="4"/>
      <c r="X68" s="61">
        <f>SUM(X62:X67)</f>
        <v>-4.7619047619047616E-2</v>
      </c>
      <c r="Y68" s="4"/>
      <c r="Z68" s="4"/>
    </row>
    <row r="69" spans="1:26" x14ac:dyDescent="0.25">
      <c r="A69" s="4"/>
      <c r="B69" s="4"/>
      <c r="C69" s="4"/>
      <c r="D69" s="4"/>
      <c r="E69" s="4"/>
      <c r="F69" s="4"/>
      <c r="G69" s="4"/>
      <c r="H69" s="4"/>
      <c r="I69" s="4"/>
      <c r="J69" s="4"/>
      <c r="K69" s="4"/>
      <c r="L69" s="4"/>
      <c r="M69" s="4"/>
      <c r="N69" s="4"/>
      <c r="O69" s="4"/>
      <c r="P69" s="34"/>
      <c r="Q69" s="59"/>
      <c r="R69" s="4"/>
      <c r="S69" s="4"/>
      <c r="T69" s="4"/>
      <c r="U69" s="4"/>
      <c r="V69" s="4"/>
      <c r="W69" s="4"/>
      <c r="X69" s="59"/>
      <c r="Y69" s="4"/>
      <c r="Z69" s="4"/>
    </row>
    <row r="70" spans="1:26" x14ac:dyDescent="0.25">
      <c r="A70" s="4"/>
      <c r="B70" s="4" t="str">
        <f>+FormularioFODA!B73</f>
        <v>Estructura de Costos</v>
      </c>
      <c r="C70" s="4" t="s">
        <v>478</v>
      </c>
      <c r="D70" s="4">
        <v>1</v>
      </c>
      <c r="E70" s="4">
        <f>+IF(FormularioFODA!D74="x",1,0)</f>
        <v>0</v>
      </c>
      <c r="F70" s="4">
        <f>+IF(FormularioFODA!E74="x",1,0)</f>
        <v>0</v>
      </c>
      <c r="G70" s="4">
        <f>+IF(FormularioFODA!F74="x",1,0)</f>
        <v>0</v>
      </c>
      <c r="H70" s="4">
        <f>+IF(FormularioFODA!G74="x",1,0)</f>
        <v>1</v>
      </c>
      <c r="I70" s="4">
        <f>+IF(FormularioFODA!H74="x",1,0)</f>
        <v>0</v>
      </c>
      <c r="J70" s="4">
        <f t="shared" ref="J70:J75" si="49">SUM(E70:I70)</f>
        <v>1</v>
      </c>
      <c r="K70" s="4">
        <f>+IF(FormularioFODA!J74="x",1,0)*K$2</f>
        <v>0</v>
      </c>
      <c r="L70" s="4">
        <f>+IF(FormularioFODA!K74="x",1,0)*L$2</f>
        <v>0</v>
      </c>
      <c r="M70" s="4">
        <f>+IF(FormularioFODA!L74="x",1,0)*M$2</f>
        <v>3</v>
      </c>
      <c r="N70" s="4">
        <f>+IF(FormularioFODA!M74="x",1,0)*N$2</f>
        <v>0</v>
      </c>
      <c r="O70" s="4">
        <f t="shared" ref="O70:O75" si="50">SUM(K70:N70)</f>
        <v>3</v>
      </c>
      <c r="P70" s="34">
        <f t="shared" ref="P70:P75" si="51">IF($O$76=0,0,O70/$O$76)</f>
        <v>0.15</v>
      </c>
      <c r="Q70" s="59">
        <f t="shared" ref="Q70:Q75" si="52">+(J70/$I$2)*P70</f>
        <v>0.03</v>
      </c>
      <c r="R70" s="4"/>
      <c r="S70" s="4">
        <f t="shared" ref="S70:V75" si="53">+F70*S$2</f>
        <v>0</v>
      </c>
      <c r="T70" s="4">
        <f t="shared" si="53"/>
        <v>0</v>
      </c>
      <c r="U70" s="4">
        <f t="shared" si="53"/>
        <v>0.5</v>
      </c>
      <c r="V70" s="4">
        <f t="shared" si="53"/>
        <v>0</v>
      </c>
      <c r="W70" s="4">
        <f t="shared" ref="W70:W75" si="54">SUM(S70:V70)</f>
        <v>0.5</v>
      </c>
      <c r="X70" s="59">
        <f t="shared" ref="X70:X75" si="55">+W70*P70</f>
        <v>7.4999999999999997E-2</v>
      </c>
      <c r="Y70" s="4"/>
      <c r="Z70" s="4" t="str">
        <f>+FormularioFODA!B74</f>
        <v>1 - Costos fijos. Se considera favorable si los costos fijos no aumentaron más del 15% real en el último año y su peso es manejable frente al volumen.</v>
      </c>
    </row>
    <row r="71" spans="1:26" x14ac:dyDescent="0.25">
      <c r="A71" s="4"/>
      <c r="B71" s="4"/>
      <c r="C71" s="4" t="s">
        <v>483</v>
      </c>
      <c r="D71" s="4">
        <v>2</v>
      </c>
      <c r="E71" s="4">
        <f>+IF(FormularioFODA!D75="x",1,0)</f>
        <v>1</v>
      </c>
      <c r="F71" s="4">
        <f>+IF(FormularioFODA!E75="x",1,0)</f>
        <v>0</v>
      </c>
      <c r="G71" s="4">
        <f>+IF(FormularioFODA!F75="x",1,0)</f>
        <v>0</v>
      </c>
      <c r="H71" s="4">
        <f>+IF(FormularioFODA!G75="x",1,0)</f>
        <v>0</v>
      </c>
      <c r="I71" s="4">
        <f>+IF(FormularioFODA!H75="x",1,0)</f>
        <v>0</v>
      </c>
      <c r="J71" s="4">
        <f t="shared" si="49"/>
        <v>1</v>
      </c>
      <c r="K71" s="4">
        <f>+IF(FormularioFODA!J75="x",1,0)*K$2</f>
        <v>0</v>
      </c>
      <c r="L71" s="4">
        <f>+IF(FormularioFODA!K75="x",1,0)*L$2</f>
        <v>0</v>
      </c>
      <c r="M71" s="4">
        <f>+IF(FormularioFODA!L75="x",1,0)*M$2</f>
        <v>0</v>
      </c>
      <c r="N71" s="4">
        <f>+IF(FormularioFODA!M75="x",1,0)*N$2</f>
        <v>4</v>
      </c>
      <c r="O71" s="4">
        <f t="shared" si="50"/>
        <v>4</v>
      </c>
      <c r="P71" s="34">
        <f t="shared" si="51"/>
        <v>0.2</v>
      </c>
      <c r="Q71" s="59">
        <f t="shared" si="52"/>
        <v>4.0000000000000008E-2</v>
      </c>
      <c r="R71" s="4"/>
      <c r="S71" s="4">
        <f t="shared" si="53"/>
        <v>0</v>
      </c>
      <c r="T71" s="4">
        <f t="shared" si="53"/>
        <v>0</v>
      </c>
      <c r="U71" s="4">
        <f t="shared" si="53"/>
        <v>0</v>
      </c>
      <c r="V71" s="4">
        <f t="shared" si="53"/>
        <v>0</v>
      </c>
      <c r="W71" s="4">
        <f t="shared" si="54"/>
        <v>0</v>
      </c>
      <c r="X71" s="59">
        <f t="shared" si="55"/>
        <v>0</v>
      </c>
      <c r="Y71" s="4"/>
      <c r="Z71" s="4" t="str">
        <f>+FormularioFODA!B75</f>
        <v>2 - Punto de equilibrio y escala mínima exportable. Se considera favorable si se conoce el punto de equilibrio y el volumen mínimo por embarque que resulta rentable.</v>
      </c>
    </row>
    <row r="72" spans="1:26" x14ac:dyDescent="0.25">
      <c r="A72" s="4"/>
      <c r="B72" s="4"/>
      <c r="C72" s="4" t="s">
        <v>487</v>
      </c>
      <c r="D72" s="4">
        <v>3</v>
      </c>
      <c r="E72" s="4">
        <f>+IF(FormularioFODA!D76="x",1,0)</f>
        <v>0</v>
      </c>
      <c r="F72" s="4">
        <f>+IF(FormularioFODA!E76="x",1,0)</f>
        <v>0</v>
      </c>
      <c r="G72" s="4">
        <f>+IF(FormularioFODA!F76="x",1,0)</f>
        <v>0</v>
      </c>
      <c r="H72" s="4">
        <f>+IF(FormularioFODA!G76="x",1,0)</f>
        <v>1</v>
      </c>
      <c r="I72" s="4">
        <f>+IF(FormularioFODA!H76="x",1,0)</f>
        <v>0</v>
      </c>
      <c r="J72" s="4">
        <f t="shared" si="49"/>
        <v>1</v>
      </c>
      <c r="K72" s="4">
        <f>+IF(FormularioFODA!J76="x",1,0)*K$2</f>
        <v>0</v>
      </c>
      <c r="L72" s="4">
        <f>+IF(FormularioFODA!K76="x",1,0)*L$2</f>
        <v>0</v>
      </c>
      <c r="M72" s="4">
        <f>+IF(FormularioFODA!L76="x",1,0)*M$2</f>
        <v>0</v>
      </c>
      <c r="N72" s="4">
        <f>+IF(FormularioFODA!M76="x",1,0)*N$2</f>
        <v>4</v>
      </c>
      <c r="O72" s="4">
        <f t="shared" si="50"/>
        <v>4</v>
      </c>
      <c r="P72" s="34">
        <f t="shared" si="51"/>
        <v>0.2</v>
      </c>
      <c r="Q72" s="59">
        <f t="shared" si="52"/>
        <v>4.0000000000000008E-2</v>
      </c>
      <c r="R72" s="4"/>
      <c r="S72" s="4">
        <f t="shared" si="53"/>
        <v>0</v>
      </c>
      <c r="T72" s="4">
        <f t="shared" si="53"/>
        <v>0</v>
      </c>
      <c r="U72" s="4">
        <f t="shared" si="53"/>
        <v>0.5</v>
      </c>
      <c r="V72" s="4">
        <f t="shared" si="53"/>
        <v>0</v>
      </c>
      <c r="W72" s="4">
        <f t="shared" si="54"/>
        <v>0.5</v>
      </c>
      <c r="X72" s="59">
        <f t="shared" si="55"/>
        <v>0.1</v>
      </c>
      <c r="Y72" s="4"/>
      <c r="Z72" s="4" t="str">
        <f>+FormularioFODA!B76</f>
        <v>3 - Sistema de costos de exportación. Se considera favorable si existe un sistema que distribuye costos por producto e incorpora los de comercio exterior (flete, seguro, tasas, comisiones).</v>
      </c>
    </row>
    <row r="73" spans="1:26" x14ac:dyDescent="0.25">
      <c r="A73" s="4"/>
      <c r="B73" s="4"/>
      <c r="C73" s="4" t="s">
        <v>491</v>
      </c>
      <c r="D73" s="4">
        <v>4</v>
      </c>
      <c r="E73" s="4">
        <f>+IF(FormularioFODA!D77="x",1,0)</f>
        <v>0</v>
      </c>
      <c r="F73" s="4">
        <f>+IF(FormularioFODA!E77="x",1,0)</f>
        <v>0</v>
      </c>
      <c r="G73" s="4">
        <f>+IF(FormularioFODA!F77="x",1,0)</f>
        <v>1</v>
      </c>
      <c r="H73" s="4">
        <f>+IF(FormularioFODA!G77="x",1,0)</f>
        <v>0</v>
      </c>
      <c r="I73" s="4">
        <f>+IF(FormularioFODA!H77="x",1,0)</f>
        <v>0</v>
      </c>
      <c r="J73" s="4">
        <f t="shared" si="49"/>
        <v>1</v>
      </c>
      <c r="K73" s="4">
        <f>+IF(FormularioFODA!J77="x",1,0)*K$2</f>
        <v>0</v>
      </c>
      <c r="L73" s="4">
        <f>+IF(FormularioFODA!K77="x",1,0)*L$2</f>
        <v>0</v>
      </c>
      <c r="M73" s="4">
        <f>+IF(FormularioFODA!L77="x",1,0)*M$2</f>
        <v>3</v>
      </c>
      <c r="N73" s="4">
        <f>+IF(FormularioFODA!M77="x",1,0)*N$2</f>
        <v>0</v>
      </c>
      <c r="O73" s="4">
        <f t="shared" si="50"/>
        <v>3</v>
      </c>
      <c r="P73" s="34">
        <f t="shared" si="51"/>
        <v>0.15</v>
      </c>
      <c r="Q73" s="59">
        <f t="shared" si="52"/>
        <v>0.03</v>
      </c>
      <c r="R73" s="4"/>
      <c r="S73" s="4">
        <f t="shared" si="53"/>
        <v>0</v>
      </c>
      <c r="T73" s="4">
        <f t="shared" si="53"/>
        <v>-0.5</v>
      </c>
      <c r="U73" s="4">
        <f t="shared" si="53"/>
        <v>0</v>
      </c>
      <c r="V73" s="4">
        <f t="shared" si="53"/>
        <v>0</v>
      </c>
      <c r="W73" s="4">
        <f t="shared" si="54"/>
        <v>-0.5</v>
      </c>
      <c r="X73" s="59">
        <f t="shared" si="55"/>
        <v>-7.4999999999999997E-2</v>
      </c>
      <c r="Y73" s="4"/>
      <c r="Z73" s="4" t="str">
        <f>+FormularioFODA!B77</f>
        <v>4 - Costo de materias primas. Se considera favorable si el costo y la disponibilidad de la materia prima son estables, sin fuertes variaciones estacionales o de precio.</v>
      </c>
    </row>
    <row r="74" spans="1:26" x14ac:dyDescent="0.25">
      <c r="A74" s="4"/>
      <c r="B74" s="4"/>
      <c r="C74" s="4" t="s">
        <v>495</v>
      </c>
      <c r="D74" s="4">
        <v>5</v>
      </c>
      <c r="E74" s="4">
        <f>+IF(FormularioFODA!D78="x",1,0)</f>
        <v>0</v>
      </c>
      <c r="F74" s="4">
        <f>+IF(FormularioFODA!E78="x",1,0)</f>
        <v>0</v>
      </c>
      <c r="G74" s="4">
        <f>+IF(FormularioFODA!F78="x",1,0)</f>
        <v>1</v>
      </c>
      <c r="H74" s="4">
        <f>+IF(FormularioFODA!G78="x",1,0)</f>
        <v>0</v>
      </c>
      <c r="I74" s="4">
        <f>+IF(FormularioFODA!H78="x",1,0)</f>
        <v>0</v>
      </c>
      <c r="J74" s="4">
        <f t="shared" si="49"/>
        <v>1</v>
      </c>
      <c r="K74" s="4">
        <f>+IF(FormularioFODA!J78="x",1,0)*K$2</f>
        <v>0</v>
      </c>
      <c r="L74" s="4">
        <f>+IF(FormularioFODA!K78="x",1,0)*L$2</f>
        <v>0</v>
      </c>
      <c r="M74" s="4">
        <f>+IF(FormularioFODA!L78="x",1,0)*M$2</f>
        <v>3</v>
      </c>
      <c r="N74" s="4">
        <f>+IF(FormularioFODA!M78="x",1,0)*N$2</f>
        <v>0</v>
      </c>
      <c r="O74" s="4">
        <f t="shared" si="50"/>
        <v>3</v>
      </c>
      <c r="P74" s="34">
        <f t="shared" si="51"/>
        <v>0.15</v>
      </c>
      <c r="Q74" s="59">
        <f t="shared" si="52"/>
        <v>0.03</v>
      </c>
      <c r="R74" s="4"/>
      <c r="S74" s="4">
        <f t="shared" si="53"/>
        <v>0</v>
      </c>
      <c r="T74" s="4">
        <f t="shared" si="53"/>
        <v>-0.5</v>
      </c>
      <c r="U74" s="4">
        <f t="shared" si="53"/>
        <v>0</v>
      </c>
      <c r="V74" s="4">
        <f t="shared" si="53"/>
        <v>0</v>
      </c>
      <c r="W74" s="4">
        <f t="shared" si="54"/>
        <v>-0.5</v>
      </c>
      <c r="X74" s="59">
        <f t="shared" si="55"/>
        <v>-7.4999999999999997E-2</v>
      </c>
      <c r="Y74" s="4"/>
      <c r="Z74" s="4" t="str">
        <f>+FormularioFODA!B78</f>
        <v>5 - Costos logísticos y de comercio exterior. Se considera favorable si los costos de flete, embalaje, despacho y seguros representan un porcentaje del precio compatible con la competitividad.</v>
      </c>
    </row>
    <row r="75" spans="1:26" x14ac:dyDescent="0.25">
      <c r="A75" s="4"/>
      <c r="B75" s="4"/>
      <c r="C75" s="4" t="s">
        <v>499</v>
      </c>
      <c r="D75" s="4">
        <v>6</v>
      </c>
      <c r="E75" s="4">
        <f>+IF(FormularioFODA!D79="x",1,0)</f>
        <v>0</v>
      </c>
      <c r="F75" s="4">
        <f>+IF(FormularioFODA!E79="x",1,0)</f>
        <v>0</v>
      </c>
      <c r="G75" s="4">
        <f>+IF(FormularioFODA!F79="x",1,0)</f>
        <v>0</v>
      </c>
      <c r="H75" s="4">
        <f>+IF(FormularioFODA!G79="x",1,0)</f>
        <v>0</v>
      </c>
      <c r="I75" s="4">
        <f>+IF(FormularioFODA!H79="x",1,0)</f>
        <v>1</v>
      </c>
      <c r="J75" s="4">
        <f t="shared" si="49"/>
        <v>1</v>
      </c>
      <c r="K75" s="4">
        <f>+IF(FormularioFODA!J79="x",1,0)*K$2</f>
        <v>0</v>
      </c>
      <c r="L75" s="4">
        <f>+IF(FormularioFODA!K79="x",1,0)*L$2</f>
        <v>0</v>
      </c>
      <c r="M75" s="4">
        <f>+IF(FormularioFODA!L79="x",1,0)*M$2</f>
        <v>3</v>
      </c>
      <c r="N75" s="4">
        <f>+IF(FormularioFODA!M79="x",1,0)*N$2</f>
        <v>0</v>
      </c>
      <c r="O75" s="4">
        <f t="shared" si="50"/>
        <v>3</v>
      </c>
      <c r="P75" s="34">
        <f t="shared" si="51"/>
        <v>0.15</v>
      </c>
      <c r="Q75" s="59">
        <f t="shared" si="52"/>
        <v>0.03</v>
      </c>
      <c r="R75" s="4"/>
      <c r="S75" s="4">
        <f t="shared" si="53"/>
        <v>0</v>
      </c>
      <c r="T75" s="4">
        <f t="shared" si="53"/>
        <v>0</v>
      </c>
      <c r="U75" s="4">
        <f t="shared" si="53"/>
        <v>0</v>
      </c>
      <c r="V75" s="4">
        <f t="shared" si="53"/>
        <v>1</v>
      </c>
      <c r="W75" s="4">
        <f t="shared" si="54"/>
        <v>1</v>
      </c>
      <c r="X75" s="59">
        <f t="shared" si="55"/>
        <v>0.15</v>
      </c>
      <c r="Y75" s="4"/>
      <c r="Z75" s="4" t="str">
        <f>+FormularioFODA!B79</f>
        <v>6 - Endeudamiento. Se considera favorable si el endeudamiento es menor al activo corriente y no compromete la capacidad de invertir.</v>
      </c>
    </row>
    <row r="76" spans="1:26" x14ac:dyDescent="0.25">
      <c r="A76" s="4"/>
      <c r="B76" s="12" t="s">
        <v>823</v>
      </c>
      <c r="C76" s="4"/>
      <c r="D76" s="4"/>
      <c r="E76" s="12">
        <f t="shared" ref="E76:Q76" si="56">SUM(E70:E75)</f>
        <v>1</v>
      </c>
      <c r="F76" s="12">
        <f t="shared" si="56"/>
        <v>0</v>
      </c>
      <c r="G76" s="12">
        <f t="shared" si="56"/>
        <v>2</v>
      </c>
      <c r="H76" s="12">
        <f t="shared" si="56"/>
        <v>2</v>
      </c>
      <c r="I76" s="12">
        <f t="shared" si="56"/>
        <v>1</v>
      </c>
      <c r="J76" s="12">
        <f t="shared" si="56"/>
        <v>6</v>
      </c>
      <c r="K76" s="12">
        <f t="shared" si="56"/>
        <v>0</v>
      </c>
      <c r="L76" s="12">
        <f t="shared" si="56"/>
        <v>0</v>
      </c>
      <c r="M76" s="12">
        <f t="shared" si="56"/>
        <v>12</v>
      </c>
      <c r="N76" s="12">
        <f t="shared" si="56"/>
        <v>8</v>
      </c>
      <c r="O76" s="12">
        <f t="shared" si="56"/>
        <v>20</v>
      </c>
      <c r="P76" s="60">
        <f t="shared" si="56"/>
        <v>1</v>
      </c>
      <c r="Q76" s="61">
        <f t="shared" si="56"/>
        <v>0.2</v>
      </c>
      <c r="R76" s="4"/>
      <c r="S76" s="4"/>
      <c r="T76" s="4"/>
      <c r="U76" s="4"/>
      <c r="V76" s="4"/>
      <c r="W76" s="4"/>
      <c r="X76" s="61">
        <f>SUM(X70:X75)</f>
        <v>0.17499999999999999</v>
      </c>
      <c r="Y76" s="4"/>
      <c r="Z76" s="4"/>
    </row>
    <row r="77" spans="1:26" x14ac:dyDescent="0.25">
      <c r="A77" s="4"/>
      <c r="B77" s="4"/>
      <c r="C77" s="4"/>
      <c r="D77" s="4"/>
      <c r="E77" s="4"/>
      <c r="F77" s="4"/>
      <c r="G77" s="4"/>
      <c r="H77" s="4"/>
      <c r="I77" s="4"/>
      <c r="J77" s="4"/>
      <c r="K77" s="4"/>
      <c r="L77" s="4"/>
      <c r="M77" s="4"/>
      <c r="N77" s="4"/>
      <c r="O77" s="4"/>
      <c r="P77" s="34"/>
      <c r="Q77" s="59"/>
      <c r="R77" s="4"/>
      <c r="S77" s="4"/>
      <c r="T77" s="4"/>
      <c r="U77" s="4"/>
      <c r="V77" s="4"/>
      <c r="W77" s="4"/>
      <c r="X77" s="59"/>
      <c r="Y77" s="4"/>
      <c r="Z77" s="4"/>
    </row>
    <row r="78" spans="1:26" x14ac:dyDescent="0.25">
      <c r="A78" s="4"/>
      <c r="B78" s="4" t="str">
        <f>+FormularioFODA!B82</f>
        <v>Gestión y Compromiso Exportador</v>
      </c>
      <c r="C78" s="4" t="s">
        <v>503</v>
      </c>
      <c r="D78" s="4">
        <v>1</v>
      </c>
      <c r="E78" s="4">
        <f>+IF(FormularioFODA!D83="x",1,0)</f>
        <v>0</v>
      </c>
      <c r="F78" s="4">
        <f>+IF(FormularioFODA!E83="x",1,0)</f>
        <v>0</v>
      </c>
      <c r="G78" s="4">
        <f>+IF(FormularioFODA!F83="x",1,0)</f>
        <v>1</v>
      </c>
      <c r="H78" s="4">
        <f>+IF(FormularioFODA!G83="x",1,0)</f>
        <v>0</v>
      </c>
      <c r="I78" s="4">
        <f>+IF(FormularioFODA!H83="x",1,0)</f>
        <v>0</v>
      </c>
      <c r="J78" s="4">
        <f t="shared" ref="J78:J84" si="57">SUM(E78:I78)</f>
        <v>1</v>
      </c>
      <c r="K78" s="4">
        <f>+IF(FormularioFODA!J83="x",1,0)*K$2</f>
        <v>0</v>
      </c>
      <c r="L78" s="4">
        <f>+IF(FormularioFODA!K83="x",1,0)*L$2</f>
        <v>0</v>
      </c>
      <c r="M78" s="4">
        <f>+IF(FormularioFODA!L83="x",1,0)*M$2</f>
        <v>3</v>
      </c>
      <c r="N78" s="4">
        <f>+IF(FormularioFODA!M83="x",1,0)*N$2</f>
        <v>0</v>
      </c>
      <c r="O78" s="4">
        <f t="shared" ref="O78:O84" si="58">SUM(K78:N78)</f>
        <v>3</v>
      </c>
      <c r="P78" s="34">
        <f t="shared" ref="P78:P84" si="59">IF($O$85=0,0,O78/$O$85)</f>
        <v>0.13043478260869565</v>
      </c>
      <c r="Q78" s="59">
        <f t="shared" ref="Q78:Q84" si="60">+(J78/$I$2)*P78</f>
        <v>2.6086956521739132E-2</v>
      </c>
      <c r="R78" s="4"/>
      <c r="S78" s="4">
        <f t="shared" ref="S78:V84" si="61">+F78*S$2</f>
        <v>0</v>
      </c>
      <c r="T78" s="4">
        <f t="shared" si="61"/>
        <v>-0.5</v>
      </c>
      <c r="U78" s="4">
        <f t="shared" si="61"/>
        <v>0</v>
      </c>
      <c r="V78" s="4">
        <f t="shared" si="61"/>
        <v>0</v>
      </c>
      <c r="W78" s="4">
        <f t="shared" ref="W78:W84" si="62">SUM(S78:V78)</f>
        <v>-0.5</v>
      </c>
      <c r="X78" s="59">
        <f t="shared" ref="X78:X84" si="63">+W78*P78</f>
        <v>-6.5217391304347824E-2</v>
      </c>
      <c r="Y78" s="4"/>
      <c r="Z78" s="4" t="str">
        <f>+FormularioFODA!B83</f>
        <v>1 - Estrategia y objetivos de largo plazo. Se considera favorable si hay una estrategia con visión a más de tres años y objetivos de exportación medibles.</v>
      </c>
    </row>
    <row r="79" spans="1:26" x14ac:dyDescent="0.25">
      <c r="A79" s="4"/>
      <c r="B79" s="4"/>
      <c r="C79" s="4" t="s">
        <v>508</v>
      </c>
      <c r="D79" s="4">
        <v>2</v>
      </c>
      <c r="E79" s="4">
        <f>+IF(FormularioFODA!D84="x",1,0)</f>
        <v>0</v>
      </c>
      <c r="F79" s="4">
        <f>+IF(FormularioFODA!E84="x",1,0)</f>
        <v>1</v>
      </c>
      <c r="G79" s="4">
        <f>+IF(FormularioFODA!F84="x",1,0)</f>
        <v>0</v>
      </c>
      <c r="H79" s="4">
        <f>+IF(FormularioFODA!G84="x",1,0)</f>
        <v>0</v>
      </c>
      <c r="I79" s="4">
        <f>+IF(FormularioFODA!H84="x",1,0)</f>
        <v>0</v>
      </c>
      <c r="J79" s="4">
        <f t="shared" si="57"/>
        <v>1</v>
      </c>
      <c r="K79" s="4">
        <f>+IF(FormularioFODA!J84="x",1,0)*K$2</f>
        <v>0</v>
      </c>
      <c r="L79" s="4">
        <f>+IF(FormularioFODA!K84="x",1,0)*L$2</f>
        <v>0</v>
      </c>
      <c r="M79" s="4">
        <f>+IF(FormularioFODA!L84="x",1,0)*M$2</f>
        <v>3</v>
      </c>
      <c r="N79" s="4">
        <f>+IF(FormularioFODA!M84="x",1,0)*N$2</f>
        <v>0</v>
      </c>
      <c r="O79" s="4">
        <f t="shared" si="58"/>
        <v>3</v>
      </c>
      <c r="P79" s="34">
        <f t="shared" si="59"/>
        <v>0.13043478260869565</v>
      </c>
      <c r="Q79" s="59">
        <f t="shared" si="60"/>
        <v>2.6086956521739132E-2</v>
      </c>
      <c r="R79" s="4"/>
      <c r="S79" s="4">
        <f t="shared" si="61"/>
        <v>-1</v>
      </c>
      <c r="T79" s="4">
        <f t="shared" si="61"/>
        <v>0</v>
      </c>
      <c r="U79" s="4">
        <f t="shared" si="61"/>
        <v>0</v>
      </c>
      <c r="V79" s="4">
        <f t="shared" si="61"/>
        <v>0</v>
      </c>
      <c r="W79" s="4">
        <f t="shared" si="62"/>
        <v>-1</v>
      </c>
      <c r="X79" s="59">
        <f t="shared" si="63"/>
        <v>-0.13043478260869565</v>
      </c>
      <c r="Y79" s="4"/>
      <c r="Z79" s="4" t="str">
        <f>+FormularioFODA!B84</f>
        <v>2 - Compromiso de la dirección. Se considera favorable si la dirección asigna tiempo, presupuesto y decisiones concretas a la exportación (no solo interés declarativo).</v>
      </c>
    </row>
    <row r="80" spans="1:26" x14ac:dyDescent="0.25">
      <c r="A80" s="4"/>
      <c r="B80" s="4"/>
      <c r="C80" s="4" t="s">
        <v>512</v>
      </c>
      <c r="D80" s="4">
        <v>3</v>
      </c>
      <c r="E80" s="4">
        <f>+IF(FormularioFODA!D85="x",1,0)</f>
        <v>0</v>
      </c>
      <c r="F80" s="4">
        <f>+IF(FormularioFODA!E85="x",1,0)</f>
        <v>1</v>
      </c>
      <c r="G80" s="4">
        <f>+IF(FormularioFODA!F85="x",1,0)</f>
        <v>0</v>
      </c>
      <c r="H80" s="4">
        <f>+IF(FormularioFODA!G85="x",1,0)</f>
        <v>0</v>
      </c>
      <c r="I80" s="4">
        <f>+IF(FormularioFODA!H85="x",1,0)</f>
        <v>0</v>
      </c>
      <c r="J80" s="4">
        <f t="shared" si="57"/>
        <v>1</v>
      </c>
      <c r="K80" s="4">
        <f>+IF(FormularioFODA!J85="x",1,0)*K$2</f>
        <v>0</v>
      </c>
      <c r="L80" s="4">
        <f>+IF(FormularioFODA!K85="x",1,0)*L$2</f>
        <v>0</v>
      </c>
      <c r="M80" s="4">
        <f>+IF(FormularioFODA!L85="x",1,0)*M$2</f>
        <v>0</v>
      </c>
      <c r="N80" s="4">
        <f>+IF(FormularioFODA!M85="x",1,0)*N$2</f>
        <v>4</v>
      </c>
      <c r="O80" s="4">
        <f t="shared" si="58"/>
        <v>4</v>
      </c>
      <c r="P80" s="34">
        <f t="shared" si="59"/>
        <v>0.17391304347826086</v>
      </c>
      <c r="Q80" s="59">
        <f t="shared" si="60"/>
        <v>3.4782608695652174E-2</v>
      </c>
      <c r="R80" s="4"/>
      <c r="S80" s="4">
        <f t="shared" si="61"/>
        <v>-1</v>
      </c>
      <c r="T80" s="4">
        <f t="shared" si="61"/>
        <v>0</v>
      </c>
      <c r="U80" s="4">
        <f t="shared" si="61"/>
        <v>0</v>
      </c>
      <c r="V80" s="4">
        <f t="shared" si="61"/>
        <v>0</v>
      </c>
      <c r="W80" s="4">
        <f t="shared" si="62"/>
        <v>-1</v>
      </c>
      <c r="X80" s="59">
        <f t="shared" si="63"/>
        <v>-0.17391304347826086</v>
      </c>
      <c r="Y80" s="4"/>
      <c r="Z80" s="4" t="str">
        <f>+FormularioFODA!B85</f>
        <v>3 - Estructura y responsable de comercio exterior. Se considera favorable si existe una persona o equipo responsable de exportar y la estructura y funciones son acordes al volumen de actividad.</v>
      </c>
    </row>
    <row r="81" spans="1:26" x14ac:dyDescent="0.25">
      <c r="A81" s="4"/>
      <c r="B81" s="4"/>
      <c r="C81" s="4" t="s">
        <v>516</v>
      </c>
      <c r="D81" s="4">
        <v>4</v>
      </c>
      <c r="E81" s="4">
        <f>+IF(FormularioFODA!D86="x",1,0)</f>
        <v>0</v>
      </c>
      <c r="F81" s="4">
        <f>+IF(FormularioFODA!E86="x",1,0)</f>
        <v>0</v>
      </c>
      <c r="G81" s="4">
        <f>+IF(FormularioFODA!F86="x",1,0)</f>
        <v>0</v>
      </c>
      <c r="H81" s="4">
        <f>+IF(FormularioFODA!G86="x",1,0)</f>
        <v>1</v>
      </c>
      <c r="I81" s="4">
        <f>+IF(FormularioFODA!H86="x",1,0)</f>
        <v>0</v>
      </c>
      <c r="J81" s="4">
        <f t="shared" si="57"/>
        <v>1</v>
      </c>
      <c r="K81" s="4">
        <f>+IF(FormularioFODA!J86="x",1,0)*K$2</f>
        <v>0</v>
      </c>
      <c r="L81" s="4">
        <f>+IF(FormularioFODA!K86="x",1,0)*L$2</f>
        <v>0</v>
      </c>
      <c r="M81" s="4">
        <f>+IF(FormularioFODA!L86="x",1,0)*M$2</f>
        <v>3</v>
      </c>
      <c r="N81" s="4">
        <f>+IF(FormularioFODA!M86="x",1,0)*N$2</f>
        <v>0</v>
      </c>
      <c r="O81" s="4">
        <f t="shared" si="58"/>
        <v>3</v>
      </c>
      <c r="P81" s="34">
        <f t="shared" si="59"/>
        <v>0.13043478260869565</v>
      </c>
      <c r="Q81" s="59">
        <f t="shared" si="60"/>
        <v>2.6086956521739132E-2</v>
      </c>
      <c r="R81" s="4"/>
      <c r="S81" s="4">
        <f t="shared" si="61"/>
        <v>0</v>
      </c>
      <c r="T81" s="4">
        <f t="shared" si="61"/>
        <v>0</v>
      </c>
      <c r="U81" s="4">
        <f t="shared" si="61"/>
        <v>0.5</v>
      </c>
      <c r="V81" s="4">
        <f t="shared" si="61"/>
        <v>0</v>
      </c>
      <c r="W81" s="4">
        <f t="shared" si="62"/>
        <v>0.5</v>
      </c>
      <c r="X81" s="59">
        <f t="shared" si="63"/>
        <v>6.5217391304347824E-2</v>
      </c>
      <c r="Y81" s="4"/>
      <c r="Z81" s="4" t="str">
        <f>+FormularioFODA!B86</f>
        <v>4 - Conocimiento de la competencia internacional. Se considera favorable si se conocen competidores, capacidades, precios y estrategias en los mercados elegidos.</v>
      </c>
    </row>
    <row r="82" spans="1:26" x14ac:dyDescent="0.25">
      <c r="A82" s="4"/>
      <c r="B82" s="4"/>
      <c r="C82" s="4" t="s">
        <v>520</v>
      </c>
      <c r="D82" s="4">
        <v>5</v>
      </c>
      <c r="E82" s="4">
        <f>+IF(FormularioFODA!D87="x",1,0)</f>
        <v>0</v>
      </c>
      <c r="F82" s="4">
        <f>+IF(FormularioFODA!E87="x",1,0)</f>
        <v>0</v>
      </c>
      <c r="G82" s="4">
        <f>+IF(FormularioFODA!F87="x",1,0)</f>
        <v>1</v>
      </c>
      <c r="H82" s="4">
        <f>+IF(FormularioFODA!G87="x",1,0)</f>
        <v>0</v>
      </c>
      <c r="I82" s="4">
        <f>+IF(FormularioFODA!H87="x",1,0)</f>
        <v>0</v>
      </c>
      <c r="J82" s="4">
        <f t="shared" si="57"/>
        <v>1</v>
      </c>
      <c r="K82" s="4">
        <f>+IF(FormularioFODA!J87="x",1,0)*K$2</f>
        <v>0</v>
      </c>
      <c r="L82" s="4">
        <f>+IF(FormularioFODA!K87="x",1,0)*L$2</f>
        <v>0</v>
      </c>
      <c r="M82" s="4">
        <f>+IF(FormularioFODA!L87="x",1,0)*M$2</f>
        <v>3</v>
      </c>
      <c r="N82" s="4">
        <f>+IF(FormularioFODA!M87="x",1,0)*N$2</f>
        <v>0</v>
      </c>
      <c r="O82" s="4">
        <f t="shared" si="58"/>
        <v>3</v>
      </c>
      <c r="P82" s="34">
        <f t="shared" si="59"/>
        <v>0.13043478260869565</v>
      </c>
      <c r="Q82" s="59">
        <f t="shared" si="60"/>
        <v>2.6086956521739132E-2</v>
      </c>
      <c r="R82" s="4"/>
      <c r="S82" s="4">
        <f t="shared" si="61"/>
        <v>0</v>
      </c>
      <c r="T82" s="4">
        <f t="shared" si="61"/>
        <v>-0.5</v>
      </c>
      <c r="U82" s="4">
        <f t="shared" si="61"/>
        <v>0</v>
      </c>
      <c r="V82" s="4">
        <f t="shared" si="61"/>
        <v>0</v>
      </c>
      <c r="W82" s="4">
        <f t="shared" si="62"/>
        <v>-0.5</v>
      </c>
      <c r="X82" s="59">
        <f t="shared" si="63"/>
        <v>-6.5217391304347824E-2</v>
      </c>
      <c r="Y82" s="4"/>
      <c r="Z82" s="4" t="str">
        <f>+FormularioFODA!B87</f>
        <v>5 - Capacidad de anticipación a los cambios. Se considera favorable si existen planes de contingencia y análisis de escenarios ante cambios de normas, tipo de cambio y demanda.</v>
      </c>
    </row>
    <row r="83" spans="1:26" x14ac:dyDescent="0.25">
      <c r="A83" s="4"/>
      <c r="B83" s="4"/>
      <c r="C83" s="4" t="s">
        <v>524</v>
      </c>
      <c r="D83" s="4">
        <v>6</v>
      </c>
      <c r="E83" s="4">
        <f>+IF(FormularioFODA!D88="x",1,0)</f>
        <v>0</v>
      </c>
      <c r="F83" s="4">
        <f>+IF(FormularioFODA!E88="x",1,0)</f>
        <v>1</v>
      </c>
      <c r="G83" s="4">
        <f>+IF(FormularioFODA!F88="x",1,0)</f>
        <v>0</v>
      </c>
      <c r="H83" s="4">
        <f>+IF(FormularioFODA!G88="x",1,0)</f>
        <v>0</v>
      </c>
      <c r="I83" s="4">
        <f>+IF(FormularioFODA!H88="x",1,0)</f>
        <v>0</v>
      </c>
      <c r="J83" s="4">
        <f t="shared" si="57"/>
        <v>1</v>
      </c>
      <c r="K83" s="4">
        <f>+IF(FormularioFODA!J88="x",1,0)*K$2</f>
        <v>0</v>
      </c>
      <c r="L83" s="4">
        <f>+IF(FormularioFODA!K88="x",1,0)*L$2</f>
        <v>0</v>
      </c>
      <c r="M83" s="4">
        <f>+IF(FormularioFODA!L88="x",1,0)*M$2</f>
        <v>0</v>
      </c>
      <c r="N83" s="4">
        <f>+IF(FormularioFODA!M88="x",1,0)*N$2</f>
        <v>4</v>
      </c>
      <c r="O83" s="4">
        <f t="shared" si="58"/>
        <v>4</v>
      </c>
      <c r="P83" s="34">
        <f t="shared" si="59"/>
        <v>0.17391304347826086</v>
      </c>
      <c r="Q83" s="59">
        <f t="shared" si="60"/>
        <v>3.4782608695652174E-2</v>
      </c>
      <c r="R83" s="4"/>
      <c r="S83" s="4">
        <f t="shared" si="61"/>
        <v>-1</v>
      </c>
      <c r="T83" s="4">
        <f t="shared" si="61"/>
        <v>0</v>
      </c>
      <c r="U83" s="4">
        <f t="shared" si="61"/>
        <v>0</v>
      </c>
      <c r="V83" s="4">
        <f t="shared" si="61"/>
        <v>0</v>
      </c>
      <c r="W83" s="4">
        <f t="shared" si="62"/>
        <v>-1</v>
      </c>
      <c r="X83" s="59">
        <f t="shared" si="63"/>
        <v>-0.17391304347826086</v>
      </c>
      <c r="Y83" s="4"/>
      <c r="Z83" s="4" t="str">
        <f>+FormularioFODA!B88</f>
        <v>6 - Cultura empresarial y estilo de dirección. Se considera favorable si la cultura es abierta al cambio, hay compromiso compartido con una visión y los mandos medios participan en las decisiones.</v>
      </c>
    </row>
    <row r="84" spans="1:26" x14ac:dyDescent="0.25">
      <c r="A84" s="4"/>
      <c r="B84" s="4"/>
      <c r="C84" s="4" t="s">
        <v>528</v>
      </c>
      <c r="D84" s="4">
        <v>7</v>
      </c>
      <c r="E84" s="4">
        <f>+IF(FormularioFODA!D89="x",1,0)</f>
        <v>1</v>
      </c>
      <c r="F84" s="4">
        <f>+IF(FormularioFODA!E89="x",1,0)</f>
        <v>0</v>
      </c>
      <c r="G84" s="4">
        <f>+IF(FormularioFODA!F89="x",1,0)</f>
        <v>0</v>
      </c>
      <c r="H84" s="4">
        <f>+IF(FormularioFODA!G89="x",1,0)</f>
        <v>0</v>
      </c>
      <c r="I84" s="4">
        <f>+IF(FormularioFODA!H89="x",1,0)</f>
        <v>0</v>
      </c>
      <c r="J84" s="4">
        <f t="shared" si="57"/>
        <v>1</v>
      </c>
      <c r="K84" s="4">
        <f>+IF(FormularioFODA!J89="x",1,0)*K$2</f>
        <v>0</v>
      </c>
      <c r="L84" s="4">
        <f>+IF(FormularioFODA!K89="x",1,0)*L$2</f>
        <v>0</v>
      </c>
      <c r="M84" s="4">
        <f>+IF(FormularioFODA!L89="x",1,0)*M$2</f>
        <v>3</v>
      </c>
      <c r="N84" s="4">
        <f>+IF(FormularioFODA!M89="x",1,0)*N$2</f>
        <v>0</v>
      </c>
      <c r="O84" s="4">
        <f t="shared" si="58"/>
        <v>3</v>
      </c>
      <c r="P84" s="34">
        <f t="shared" si="59"/>
        <v>0.13043478260869565</v>
      </c>
      <c r="Q84" s="59">
        <f t="shared" si="60"/>
        <v>2.6086956521739132E-2</v>
      </c>
      <c r="R84" s="4"/>
      <c r="S84" s="4">
        <f t="shared" si="61"/>
        <v>0</v>
      </c>
      <c r="T84" s="4">
        <f t="shared" si="61"/>
        <v>0</v>
      </c>
      <c r="U84" s="4">
        <f t="shared" si="61"/>
        <v>0</v>
      </c>
      <c r="V84" s="4">
        <f t="shared" si="61"/>
        <v>0</v>
      </c>
      <c r="W84" s="4">
        <f t="shared" si="62"/>
        <v>0</v>
      </c>
      <c r="X84" s="59">
        <f t="shared" si="63"/>
        <v>0</v>
      </c>
      <c r="Y84" s="4"/>
      <c r="Z84" s="4" t="str">
        <f>+FormularioFODA!B89</f>
        <v>7 - Herramientas de planificación y control. Se considera favorable si existen presupuesto, tableros de indicadores y herramientas de planificación sistematizadas en cada proceso.</v>
      </c>
    </row>
    <row r="85" spans="1:26" x14ac:dyDescent="0.25">
      <c r="A85" s="4"/>
      <c r="B85" s="12" t="s">
        <v>824</v>
      </c>
      <c r="C85" s="4"/>
      <c r="D85" s="4"/>
      <c r="E85" s="12">
        <f t="shared" ref="E85:Q85" si="64">SUM(E78:E84)</f>
        <v>1</v>
      </c>
      <c r="F85" s="12">
        <f t="shared" si="64"/>
        <v>3</v>
      </c>
      <c r="G85" s="12">
        <f t="shared" si="64"/>
        <v>2</v>
      </c>
      <c r="H85" s="12">
        <f t="shared" si="64"/>
        <v>1</v>
      </c>
      <c r="I85" s="12">
        <f t="shared" si="64"/>
        <v>0</v>
      </c>
      <c r="J85" s="12">
        <f t="shared" si="64"/>
        <v>7</v>
      </c>
      <c r="K85" s="12">
        <f t="shared" si="64"/>
        <v>0</v>
      </c>
      <c r="L85" s="12">
        <f t="shared" si="64"/>
        <v>0</v>
      </c>
      <c r="M85" s="12">
        <f t="shared" si="64"/>
        <v>15</v>
      </c>
      <c r="N85" s="12">
        <f t="shared" si="64"/>
        <v>8</v>
      </c>
      <c r="O85" s="12">
        <f t="shared" si="64"/>
        <v>23</v>
      </c>
      <c r="P85" s="60">
        <f t="shared" si="64"/>
        <v>1</v>
      </c>
      <c r="Q85" s="61">
        <f t="shared" si="64"/>
        <v>0.2</v>
      </c>
      <c r="R85" s="4"/>
      <c r="S85" s="4"/>
      <c r="T85" s="4"/>
      <c r="U85" s="4"/>
      <c r="V85" s="4"/>
      <c r="W85" s="4"/>
      <c r="X85" s="61">
        <f>SUM(X78:X84)</f>
        <v>-0.54347826086956519</v>
      </c>
      <c r="Y85" s="4"/>
      <c r="Z85" s="4"/>
    </row>
    <row r="86" spans="1:26" x14ac:dyDescent="0.25">
      <c r="A86" s="4"/>
      <c r="B86" s="4"/>
      <c r="C86" s="4"/>
      <c r="D86" s="4"/>
      <c r="E86" s="4"/>
      <c r="F86" s="4"/>
      <c r="G86" s="4"/>
      <c r="H86" s="4"/>
      <c r="I86" s="4"/>
      <c r="J86" s="4"/>
      <c r="K86" s="4"/>
      <c r="L86" s="4"/>
      <c r="M86" s="4"/>
      <c r="N86" s="4"/>
      <c r="O86" s="4"/>
      <c r="P86" s="34"/>
      <c r="Q86" s="59"/>
      <c r="R86" s="4"/>
      <c r="S86" s="4"/>
      <c r="T86" s="4"/>
      <c r="U86" s="4"/>
      <c r="V86" s="4"/>
      <c r="W86" s="4"/>
      <c r="X86" s="59"/>
      <c r="Y86" s="4"/>
      <c r="Z86" s="4"/>
    </row>
    <row r="87" spans="1:26" x14ac:dyDescent="0.25">
      <c r="A87" s="4"/>
      <c r="B87" s="4" t="str">
        <f>+FormularioFODA!B92</f>
        <v>Ámbito Político/Legal y Regulatorio</v>
      </c>
      <c r="C87" s="4" t="s">
        <v>532</v>
      </c>
      <c r="D87" s="4">
        <v>1</v>
      </c>
      <c r="E87" s="4">
        <f>+IF(FormularioFODA!D93="x",1,0)</f>
        <v>0</v>
      </c>
      <c r="F87" s="4">
        <f>+IF(FormularioFODA!E93="x",1,0)</f>
        <v>0</v>
      </c>
      <c r="G87" s="4">
        <f>+IF(FormularioFODA!F93="x",1,0)</f>
        <v>1</v>
      </c>
      <c r="H87" s="4">
        <f>+IF(FormularioFODA!G93="x",1,0)</f>
        <v>0</v>
      </c>
      <c r="I87" s="4">
        <f>+IF(FormularioFODA!H93="x",1,0)</f>
        <v>0</v>
      </c>
      <c r="J87" s="4">
        <f t="shared" ref="J87:J92" si="65">SUM(E87:I87)</f>
        <v>1</v>
      </c>
      <c r="K87" s="4">
        <f>+IF(FormularioFODA!J93="x",1,0)*K$2</f>
        <v>0</v>
      </c>
      <c r="L87" s="4">
        <f>+IF(FormularioFODA!K93="x",1,0)*L$2</f>
        <v>0</v>
      </c>
      <c r="M87" s="4">
        <f>+IF(FormularioFODA!L93="x",1,0)*M$2</f>
        <v>3</v>
      </c>
      <c r="N87" s="4">
        <f>+IF(FormularioFODA!M93="x",1,0)*N$2</f>
        <v>0</v>
      </c>
      <c r="O87" s="4">
        <f t="shared" ref="O87:O92" si="66">SUM(K87:N87)</f>
        <v>3</v>
      </c>
      <c r="P87" s="34">
        <f t="shared" ref="P87:P92" si="67">IF($O$93=0,0,O87/$O$93)</f>
        <v>0.14285714285714285</v>
      </c>
      <c r="Q87" s="59">
        <f t="shared" ref="Q87:Q92" si="68">+(J87/$I$2)*P87</f>
        <v>2.8571428571428571E-2</v>
      </c>
      <c r="R87" s="4"/>
      <c r="S87" s="4">
        <f t="shared" ref="S87:V92" si="69">+F87*S$2</f>
        <v>0</v>
      </c>
      <c r="T87" s="4">
        <f t="shared" si="69"/>
        <v>-0.5</v>
      </c>
      <c r="U87" s="4">
        <f t="shared" si="69"/>
        <v>0</v>
      </c>
      <c r="V87" s="4">
        <f t="shared" si="69"/>
        <v>0</v>
      </c>
      <c r="W87" s="4">
        <f t="shared" ref="W87:W92" si="70">SUM(S87:V87)</f>
        <v>-0.5</v>
      </c>
      <c r="X87" s="59">
        <f t="shared" ref="X87:X92" si="71">+W87*P87</f>
        <v>-7.1428571428571425E-2</v>
      </c>
      <c r="Y87" s="4"/>
      <c r="Z87" s="4" t="str">
        <f>+FormularioFODA!B93</f>
        <v>1 - Política de comercio exterior. Se considera favorable si las reglas de exportación (autorizaciones, cupos, restricciones) son previsibles y estables y no obstaculizan al sector.</v>
      </c>
    </row>
    <row r="88" spans="1:26" x14ac:dyDescent="0.25">
      <c r="A88" s="4"/>
      <c r="B88" s="4"/>
      <c r="C88" s="4" t="s">
        <v>538</v>
      </c>
      <c r="D88" s="4">
        <v>2</v>
      </c>
      <c r="E88" s="4">
        <f>+IF(FormularioFODA!D94="x",1,0)</f>
        <v>0</v>
      </c>
      <c r="F88" s="4">
        <f>+IF(FormularioFODA!E94="x",1,0)</f>
        <v>0</v>
      </c>
      <c r="G88" s="4">
        <f>+IF(FormularioFODA!F94="x",1,0)</f>
        <v>1</v>
      </c>
      <c r="H88" s="4">
        <f>+IF(FormularioFODA!G94="x",1,0)</f>
        <v>0</v>
      </c>
      <c r="I88" s="4">
        <f>+IF(FormularioFODA!H94="x",1,0)</f>
        <v>0</v>
      </c>
      <c r="J88" s="4">
        <f t="shared" si="65"/>
        <v>1</v>
      </c>
      <c r="K88" s="4">
        <f>+IF(FormularioFODA!J94="x",1,0)*K$2</f>
        <v>0</v>
      </c>
      <c r="L88" s="4">
        <f>+IF(FormularioFODA!K94="x",1,0)*L$2</f>
        <v>0</v>
      </c>
      <c r="M88" s="4">
        <f>+IF(FormularioFODA!L94="x",1,0)*M$2</f>
        <v>0</v>
      </c>
      <c r="N88" s="4">
        <f>+IF(FormularioFODA!M94="x",1,0)*N$2</f>
        <v>4</v>
      </c>
      <c r="O88" s="4">
        <f t="shared" si="66"/>
        <v>4</v>
      </c>
      <c r="P88" s="34">
        <f t="shared" si="67"/>
        <v>0.19047619047619047</v>
      </c>
      <c r="Q88" s="59">
        <f t="shared" si="68"/>
        <v>3.8095238095238099E-2</v>
      </c>
      <c r="R88" s="4"/>
      <c r="S88" s="4">
        <f t="shared" si="69"/>
        <v>0</v>
      </c>
      <c r="T88" s="4">
        <f t="shared" si="69"/>
        <v>-0.5</v>
      </c>
      <c r="U88" s="4">
        <f t="shared" si="69"/>
        <v>0</v>
      </c>
      <c r="V88" s="4">
        <f t="shared" si="69"/>
        <v>0</v>
      </c>
      <c r="W88" s="4">
        <f t="shared" si="70"/>
        <v>-0.5</v>
      </c>
      <c r="X88" s="59">
        <f t="shared" si="71"/>
        <v>-9.5238095238095233E-2</v>
      </c>
      <c r="Y88" s="4"/>
      <c r="Z88" s="4" t="str">
        <f>+FormularioFODA!B94</f>
        <v>2 - Acuerdos comerciales y preferencias arancelarias. Se considera favorable si existen acuerdos vigentes (Mercosur, ALADI u otros) que otorgan preferencias arancelarias al producto en los destinos elegidos.</v>
      </c>
    </row>
    <row r="89" spans="1:26" x14ac:dyDescent="0.25">
      <c r="A89" s="4"/>
      <c r="B89" s="4"/>
      <c r="C89" s="4" t="s">
        <v>542</v>
      </c>
      <c r="D89" s="4">
        <v>3</v>
      </c>
      <c r="E89" s="4">
        <f>+IF(FormularioFODA!D95="x",1,0)</f>
        <v>0</v>
      </c>
      <c r="F89" s="4">
        <f>+IF(FormularioFODA!E95="x",1,0)</f>
        <v>0</v>
      </c>
      <c r="G89" s="4">
        <f>+IF(FormularioFODA!F95="x",1,0)</f>
        <v>0</v>
      </c>
      <c r="H89" s="4">
        <f>+IF(FormularioFODA!G95="x",1,0)</f>
        <v>1</v>
      </c>
      <c r="I89" s="4">
        <f>+IF(FormularioFODA!H95="x",1,0)</f>
        <v>0</v>
      </c>
      <c r="J89" s="4">
        <f t="shared" si="65"/>
        <v>1</v>
      </c>
      <c r="K89" s="4">
        <f>+IF(FormularioFODA!J95="x",1,0)*K$2</f>
        <v>0</v>
      </c>
      <c r="L89" s="4">
        <f>+IF(FormularioFODA!K95="x",1,0)*L$2</f>
        <v>0</v>
      </c>
      <c r="M89" s="4">
        <f>+IF(FormularioFODA!L95="x",1,0)*M$2</f>
        <v>0</v>
      </c>
      <c r="N89" s="4">
        <f>+IF(FormularioFODA!M95="x",1,0)*N$2</f>
        <v>4</v>
      </c>
      <c r="O89" s="4">
        <f t="shared" si="66"/>
        <v>4</v>
      </c>
      <c r="P89" s="34">
        <f t="shared" si="67"/>
        <v>0.19047619047619047</v>
      </c>
      <c r="Q89" s="59">
        <f t="shared" si="68"/>
        <v>3.8095238095238099E-2</v>
      </c>
      <c r="R89" s="4"/>
      <c r="S89" s="4">
        <f t="shared" si="69"/>
        <v>0</v>
      </c>
      <c r="T89" s="4">
        <f t="shared" si="69"/>
        <v>0</v>
      </c>
      <c r="U89" s="4">
        <f t="shared" si="69"/>
        <v>0.5</v>
      </c>
      <c r="V89" s="4">
        <f t="shared" si="69"/>
        <v>0</v>
      </c>
      <c r="W89" s="4">
        <f t="shared" si="70"/>
        <v>0.5</v>
      </c>
      <c r="X89" s="59">
        <f t="shared" si="71"/>
        <v>9.5238095238095233E-2</v>
      </c>
      <c r="Y89" s="4"/>
      <c r="Z89" s="4" t="str">
        <f>+FormularioFODA!B95</f>
        <v>3 - Barreras arancelarias y técnicas del destino. Se considera favorable si aranceles, cupos, licencias y reglamentos técnicos del destino no impiden ni encarecen de manera significativa el ingreso del producto.</v>
      </c>
    </row>
    <row r="90" spans="1:26" x14ac:dyDescent="0.25">
      <c r="A90" s="4"/>
      <c r="B90" s="4"/>
      <c r="C90" s="4" t="s">
        <v>546</v>
      </c>
      <c r="D90" s="4">
        <v>4</v>
      </c>
      <c r="E90" s="4">
        <f>+IF(FormularioFODA!D96="x",1,0)</f>
        <v>0</v>
      </c>
      <c r="F90" s="4">
        <f>+IF(FormularioFODA!E96="x",1,0)</f>
        <v>1</v>
      </c>
      <c r="G90" s="4">
        <f>+IF(FormularioFODA!F96="x",1,0)</f>
        <v>0</v>
      </c>
      <c r="H90" s="4">
        <f>+IF(FormularioFODA!G96="x",1,0)</f>
        <v>0</v>
      </c>
      <c r="I90" s="4">
        <f>+IF(FormularioFODA!H96="x",1,0)</f>
        <v>0</v>
      </c>
      <c r="J90" s="4">
        <f t="shared" si="65"/>
        <v>1</v>
      </c>
      <c r="K90" s="4">
        <f>+IF(FormularioFODA!J96="x",1,0)*K$2</f>
        <v>0</v>
      </c>
      <c r="L90" s="4">
        <f>+IF(FormularioFODA!K96="x",1,0)*L$2</f>
        <v>2</v>
      </c>
      <c r="M90" s="4">
        <f>+IF(FormularioFODA!L96="x",1,0)*M$2</f>
        <v>0</v>
      </c>
      <c r="N90" s="4">
        <f>+IF(FormularioFODA!M96="x",1,0)*N$2</f>
        <v>0</v>
      </c>
      <c r="O90" s="4">
        <f t="shared" si="66"/>
        <v>2</v>
      </c>
      <c r="P90" s="34">
        <f t="shared" si="67"/>
        <v>9.5238095238095233E-2</v>
      </c>
      <c r="Q90" s="59">
        <f t="shared" si="68"/>
        <v>1.9047619047619049E-2</v>
      </c>
      <c r="R90" s="4"/>
      <c r="S90" s="4">
        <f t="shared" si="69"/>
        <v>-1</v>
      </c>
      <c r="T90" s="4">
        <f t="shared" si="69"/>
        <v>0</v>
      </c>
      <c r="U90" s="4">
        <f t="shared" si="69"/>
        <v>0</v>
      </c>
      <c r="V90" s="4">
        <f t="shared" si="69"/>
        <v>0</v>
      </c>
      <c r="W90" s="4">
        <f t="shared" si="70"/>
        <v>-1</v>
      </c>
      <c r="X90" s="59">
        <f t="shared" si="71"/>
        <v>-9.5238095238095233E-2</v>
      </c>
      <c r="Y90" s="4"/>
      <c r="Z90" s="4" t="str">
        <f>+FormularioFODA!B96</f>
        <v>4 - Trámites y aduana. Se considera favorable si los trámites y controles (permisos, certificados de origen, despacho) son ágiles, digitalizados y de costo razonable.</v>
      </c>
    </row>
    <row r="91" spans="1:26" x14ac:dyDescent="0.25">
      <c r="A91" s="4"/>
      <c r="B91" s="4"/>
      <c r="C91" s="4" t="s">
        <v>550</v>
      </c>
      <c r="D91" s="4">
        <v>5</v>
      </c>
      <c r="E91" s="4">
        <f>+IF(FormularioFODA!D97="x",1,0)</f>
        <v>0</v>
      </c>
      <c r="F91" s="4">
        <f>+IF(FormularioFODA!E97="x",1,0)</f>
        <v>0</v>
      </c>
      <c r="G91" s="4">
        <f>+IF(FormularioFODA!F97="x",1,0)</f>
        <v>1</v>
      </c>
      <c r="H91" s="4">
        <f>+IF(FormularioFODA!G97="x",1,0)</f>
        <v>0</v>
      </c>
      <c r="I91" s="4">
        <f>+IF(FormularioFODA!H97="x",1,0)</f>
        <v>0</v>
      </c>
      <c r="J91" s="4">
        <f t="shared" si="65"/>
        <v>1</v>
      </c>
      <c r="K91" s="4">
        <f>+IF(FormularioFODA!J97="x",1,0)*K$2</f>
        <v>0</v>
      </c>
      <c r="L91" s="4">
        <f>+IF(FormularioFODA!K97="x",1,0)*L$2</f>
        <v>0</v>
      </c>
      <c r="M91" s="4">
        <f>+IF(FormularioFODA!L97="x",1,0)*M$2</f>
        <v>0</v>
      </c>
      <c r="N91" s="4">
        <f>+IF(FormularioFODA!M97="x",1,0)*N$2</f>
        <v>4</v>
      </c>
      <c r="O91" s="4">
        <f t="shared" si="66"/>
        <v>4</v>
      </c>
      <c r="P91" s="34">
        <f t="shared" si="67"/>
        <v>0.19047619047619047</v>
      </c>
      <c r="Q91" s="59">
        <f t="shared" si="68"/>
        <v>3.8095238095238099E-2</v>
      </c>
      <c r="R91" s="4"/>
      <c r="S91" s="4">
        <f t="shared" si="69"/>
        <v>0</v>
      </c>
      <c r="T91" s="4">
        <f t="shared" si="69"/>
        <v>-0.5</v>
      </c>
      <c r="U91" s="4">
        <f t="shared" si="69"/>
        <v>0</v>
      </c>
      <c r="V91" s="4">
        <f t="shared" si="69"/>
        <v>0</v>
      </c>
      <c r="W91" s="4">
        <f t="shared" si="70"/>
        <v>-0.5</v>
      </c>
      <c r="X91" s="59">
        <f t="shared" si="71"/>
        <v>-9.5238095238095233E-2</v>
      </c>
      <c r="Y91" s="4"/>
      <c r="Z91" s="4" t="str">
        <f>+FormularioFODA!B97</f>
        <v>5 - Promoción y fomento a exportadores. Se considera favorable si existen programas nacionales, provinciales o sectoriales (asistencia técnica, ferias, financiamiento, reintegros) accesibles para pymes.</v>
      </c>
    </row>
    <row r="92" spans="1:26" x14ac:dyDescent="0.25">
      <c r="A92" s="4"/>
      <c r="B92" s="4"/>
      <c r="C92" s="4" t="s">
        <v>554</v>
      </c>
      <c r="D92" s="4">
        <v>6</v>
      </c>
      <c r="E92" s="4">
        <f>+IF(FormularioFODA!D98="x",1,0)</f>
        <v>0</v>
      </c>
      <c r="F92" s="4">
        <f>+IF(FormularioFODA!E98="x",1,0)</f>
        <v>0</v>
      </c>
      <c r="G92" s="4">
        <f>+IF(FormularioFODA!F98="x",1,0)</f>
        <v>0</v>
      </c>
      <c r="H92" s="4">
        <f>+IF(FormularioFODA!G98="x",1,0)</f>
        <v>1</v>
      </c>
      <c r="I92" s="4">
        <f>+IF(FormularioFODA!H98="x",1,0)</f>
        <v>0</v>
      </c>
      <c r="J92" s="4">
        <f t="shared" si="65"/>
        <v>1</v>
      </c>
      <c r="K92" s="4">
        <f>+IF(FormularioFODA!J98="x",1,0)*K$2</f>
        <v>0</v>
      </c>
      <c r="L92" s="4">
        <f>+IF(FormularioFODA!K98="x",1,0)*L$2</f>
        <v>0</v>
      </c>
      <c r="M92" s="4">
        <f>+IF(FormularioFODA!L98="x",1,0)*M$2</f>
        <v>0</v>
      </c>
      <c r="N92" s="4">
        <f>+IF(FormularioFODA!M98="x",1,0)*N$2</f>
        <v>4</v>
      </c>
      <c r="O92" s="4">
        <f t="shared" si="66"/>
        <v>4</v>
      </c>
      <c r="P92" s="34">
        <f t="shared" si="67"/>
        <v>0.19047619047619047</v>
      </c>
      <c r="Q92" s="59">
        <f t="shared" si="68"/>
        <v>3.8095238095238099E-2</v>
      </c>
      <c r="R92" s="4"/>
      <c r="S92" s="4">
        <f t="shared" si="69"/>
        <v>0</v>
      </c>
      <c r="T92" s="4">
        <f t="shared" si="69"/>
        <v>0</v>
      </c>
      <c r="U92" s="4">
        <f t="shared" si="69"/>
        <v>0.5</v>
      </c>
      <c r="V92" s="4">
        <f t="shared" si="69"/>
        <v>0</v>
      </c>
      <c r="W92" s="4">
        <f t="shared" si="70"/>
        <v>0.5</v>
      </c>
      <c r="X92" s="59">
        <f t="shared" si="71"/>
        <v>9.5238095238095233E-2</v>
      </c>
      <c r="Y92" s="4"/>
      <c r="Z92" s="4" t="str">
        <f>+FormularioFODA!B98</f>
        <v>6 - Propiedad intelectual y seguridad jurídica. Se considera favorable si es posible proteger marcas y patentes y hacer cumplir contratos internacionales (Incoterms, arbitraje) con reglas claras.</v>
      </c>
    </row>
    <row r="93" spans="1:26" x14ac:dyDescent="0.25">
      <c r="A93" s="4"/>
      <c r="B93" s="12" t="s">
        <v>825</v>
      </c>
      <c r="C93" s="4"/>
      <c r="D93" s="4"/>
      <c r="E93" s="12">
        <f t="shared" ref="E93:Q93" si="72">SUM(E87:E92)</f>
        <v>0</v>
      </c>
      <c r="F93" s="12">
        <f t="shared" si="72"/>
        <v>1</v>
      </c>
      <c r="G93" s="12">
        <f t="shared" si="72"/>
        <v>3</v>
      </c>
      <c r="H93" s="12">
        <f t="shared" si="72"/>
        <v>2</v>
      </c>
      <c r="I93" s="12">
        <f t="shared" si="72"/>
        <v>0</v>
      </c>
      <c r="J93" s="12">
        <f t="shared" si="72"/>
        <v>6</v>
      </c>
      <c r="K93" s="12">
        <f t="shared" si="72"/>
        <v>0</v>
      </c>
      <c r="L93" s="12">
        <f t="shared" si="72"/>
        <v>2</v>
      </c>
      <c r="M93" s="12">
        <f t="shared" si="72"/>
        <v>3</v>
      </c>
      <c r="N93" s="12">
        <f t="shared" si="72"/>
        <v>16</v>
      </c>
      <c r="O93" s="12">
        <f t="shared" si="72"/>
        <v>21</v>
      </c>
      <c r="P93" s="60">
        <f t="shared" si="72"/>
        <v>0.99999999999999989</v>
      </c>
      <c r="Q93" s="61">
        <f t="shared" si="72"/>
        <v>0.2</v>
      </c>
      <c r="R93" s="4"/>
      <c r="S93" s="4"/>
      <c r="T93" s="4"/>
      <c r="U93" s="4"/>
      <c r="V93" s="4"/>
      <c r="W93" s="4"/>
      <c r="X93" s="61">
        <f>SUM(X87:X92)</f>
        <v>-0.16666666666666663</v>
      </c>
      <c r="Y93" s="4"/>
      <c r="Z93" s="4"/>
    </row>
    <row r="94" spans="1:26" x14ac:dyDescent="0.25">
      <c r="A94" s="4"/>
      <c r="B94" s="4"/>
      <c r="C94" s="4"/>
      <c r="D94" s="4"/>
      <c r="E94" s="4"/>
      <c r="F94" s="4"/>
      <c r="G94" s="4"/>
      <c r="H94" s="4"/>
      <c r="I94" s="4"/>
      <c r="J94" s="4"/>
      <c r="K94" s="4"/>
      <c r="L94" s="4"/>
      <c r="M94" s="4"/>
      <c r="N94" s="4"/>
      <c r="O94" s="4"/>
      <c r="P94" s="34"/>
      <c r="Q94" s="59"/>
      <c r="R94" s="4"/>
      <c r="S94" s="4"/>
      <c r="T94" s="4"/>
      <c r="U94" s="4"/>
      <c r="V94" s="4"/>
      <c r="W94" s="4"/>
      <c r="X94" s="59"/>
      <c r="Y94" s="4"/>
      <c r="Z94" s="4"/>
    </row>
    <row r="95" spans="1:26" x14ac:dyDescent="0.25">
      <c r="A95" s="4"/>
      <c r="B95" s="4" t="str">
        <f>+FormularioFODA!B100</f>
        <v>Ámbito Económico/Financiero/Cambiario</v>
      </c>
      <c r="C95" s="4" t="s">
        <v>558</v>
      </c>
      <c r="D95" s="4">
        <v>1</v>
      </c>
      <c r="E95" s="4">
        <f>+IF(FormularioFODA!D101="x",1,0)</f>
        <v>0</v>
      </c>
      <c r="F95" s="4">
        <f>+IF(FormularioFODA!E101="x",1,0)</f>
        <v>1</v>
      </c>
      <c r="G95" s="4">
        <f>+IF(FormularioFODA!F101="x",1,0)</f>
        <v>0</v>
      </c>
      <c r="H95" s="4">
        <f>+IF(FormularioFODA!G101="x",1,0)</f>
        <v>0</v>
      </c>
      <c r="I95" s="4">
        <f>+IF(FormularioFODA!H101="x",1,0)</f>
        <v>0</v>
      </c>
      <c r="J95" s="4">
        <f t="shared" ref="J95:J102" si="73">SUM(E95:I95)</f>
        <v>1</v>
      </c>
      <c r="K95" s="4">
        <f>+IF(FormularioFODA!J101="x",1,0)*K$2</f>
        <v>0</v>
      </c>
      <c r="L95" s="4">
        <f>+IF(FormularioFODA!K101="x",1,0)*L$2</f>
        <v>0</v>
      </c>
      <c r="M95" s="4">
        <f>+IF(FormularioFODA!L101="x",1,0)*M$2</f>
        <v>0</v>
      </c>
      <c r="N95" s="4">
        <f>+IF(FormularioFODA!M101="x",1,0)*N$2</f>
        <v>4</v>
      </c>
      <c r="O95" s="4">
        <f t="shared" ref="O95:O102" si="74">SUM(K95:N95)</f>
        <v>4</v>
      </c>
      <c r="P95" s="34">
        <f t="shared" ref="P95:P102" si="75">IF($O$103=0,0,O95/$O$103)</f>
        <v>0.18181818181818182</v>
      </c>
      <c r="Q95" s="59">
        <f t="shared" ref="Q95:Q102" si="76">+(J95/$I$2)*P95</f>
        <v>3.6363636363636369E-2</v>
      </c>
      <c r="R95" s="4"/>
      <c r="S95" s="4">
        <f t="shared" ref="S95:V102" si="77">+F95*S$2</f>
        <v>-1</v>
      </c>
      <c r="T95" s="4">
        <f t="shared" si="77"/>
        <v>0</v>
      </c>
      <c r="U95" s="4">
        <f t="shared" si="77"/>
        <v>0</v>
      </c>
      <c r="V95" s="4">
        <f t="shared" si="77"/>
        <v>0</v>
      </c>
      <c r="W95" s="4">
        <f t="shared" ref="W95:W102" si="78">SUM(S95:V95)</f>
        <v>-1</v>
      </c>
      <c r="X95" s="59">
        <f t="shared" ref="X95:X102" si="79">+W95*P95</f>
        <v>-0.18181818181818182</v>
      </c>
      <c r="Y95" s="4"/>
      <c r="Z95" s="4" t="str">
        <f>+FormularioFODA!B101</f>
        <v>1 - Crecimiento económico y ciclo. Se considera favorable si la economía argentina y las de los destinos crecen o se estabilizan, sin ciclos que reduzcan la demanda de manera abrupta.</v>
      </c>
    </row>
    <row r="96" spans="1:26" x14ac:dyDescent="0.25">
      <c r="A96" s="4"/>
      <c r="B96" s="4"/>
      <c r="C96" s="4" t="s">
        <v>563</v>
      </c>
      <c r="D96" s="4">
        <v>2</v>
      </c>
      <c r="E96" s="4">
        <f>+IF(FormularioFODA!D102="x",1,0)</f>
        <v>0</v>
      </c>
      <c r="F96" s="4">
        <f>+IF(FormularioFODA!E102="x",1,0)</f>
        <v>0</v>
      </c>
      <c r="G96" s="4">
        <f>+IF(FormularioFODA!F102="x",1,0)</f>
        <v>1</v>
      </c>
      <c r="H96" s="4">
        <f>+IF(FormularioFODA!G102="x",1,0)</f>
        <v>0</v>
      </c>
      <c r="I96" s="4">
        <f>+IF(FormularioFODA!H102="x",1,0)</f>
        <v>0</v>
      </c>
      <c r="J96" s="4">
        <f t="shared" si="73"/>
        <v>1</v>
      </c>
      <c r="K96" s="4">
        <f>+IF(FormularioFODA!J102="x",1,0)*K$2</f>
        <v>0</v>
      </c>
      <c r="L96" s="4">
        <f>+IF(FormularioFODA!K102="x",1,0)*L$2</f>
        <v>0</v>
      </c>
      <c r="M96" s="4">
        <f>+IF(FormularioFODA!L102="x",1,0)*M$2</f>
        <v>0</v>
      </c>
      <c r="N96" s="4">
        <f>+IF(FormularioFODA!M102="x",1,0)*N$2</f>
        <v>4</v>
      </c>
      <c r="O96" s="4">
        <f t="shared" si="74"/>
        <v>4</v>
      </c>
      <c r="P96" s="34">
        <f t="shared" si="75"/>
        <v>0.18181818181818182</v>
      </c>
      <c r="Q96" s="59">
        <f t="shared" si="76"/>
        <v>3.6363636363636369E-2</v>
      </c>
      <c r="R96" s="4"/>
      <c r="S96" s="4">
        <f t="shared" si="77"/>
        <v>0</v>
      </c>
      <c r="T96" s="4">
        <f t="shared" si="77"/>
        <v>-0.5</v>
      </c>
      <c r="U96" s="4">
        <f t="shared" si="77"/>
        <v>0</v>
      </c>
      <c r="V96" s="4">
        <f t="shared" si="77"/>
        <v>0</v>
      </c>
      <c r="W96" s="4">
        <f t="shared" si="78"/>
        <v>-0.5</v>
      </c>
      <c r="X96" s="59">
        <f t="shared" si="79"/>
        <v>-9.0909090909090912E-2</v>
      </c>
      <c r="Y96" s="4"/>
      <c r="Z96" s="4" t="str">
        <f>+FormularioFODA!B102</f>
        <v>2 - Crecimiento sectorial del rubro. Se considera favorable si el rubro (forestoindustrial, yerbatero, alimentos, etc.) crece en los destinos objetivo y permite mayores transacciones.</v>
      </c>
    </row>
    <row r="97" spans="1:26" x14ac:dyDescent="0.25">
      <c r="A97" s="4"/>
      <c r="B97" s="4"/>
      <c r="C97" s="4" t="s">
        <v>567</v>
      </c>
      <c r="D97" s="4">
        <v>3</v>
      </c>
      <c r="E97" s="4">
        <f>+IF(FormularioFODA!D103="x",1,0)</f>
        <v>0</v>
      </c>
      <c r="F97" s="4">
        <f>+IF(FormularioFODA!E103="x",1,0)</f>
        <v>0</v>
      </c>
      <c r="G97" s="4">
        <f>+IF(FormularioFODA!F103="x",1,0)</f>
        <v>1</v>
      </c>
      <c r="H97" s="4">
        <f>+IF(FormularioFODA!G103="x",1,0)</f>
        <v>0</v>
      </c>
      <c r="I97" s="4">
        <f>+IF(FormularioFODA!H103="x",1,0)</f>
        <v>0</v>
      </c>
      <c r="J97" s="4">
        <f t="shared" si="73"/>
        <v>1</v>
      </c>
      <c r="K97" s="4">
        <f>+IF(FormularioFODA!J103="x",1,0)*K$2</f>
        <v>0</v>
      </c>
      <c r="L97" s="4">
        <f>+IF(FormularioFODA!K103="x",1,0)*L$2</f>
        <v>0</v>
      </c>
      <c r="M97" s="4">
        <f>+IF(FormularioFODA!L103="x",1,0)*M$2</f>
        <v>3</v>
      </c>
      <c r="N97" s="4">
        <f>+IF(FormularioFODA!M103="x",1,0)*N$2</f>
        <v>0</v>
      </c>
      <c r="O97" s="4">
        <f t="shared" si="74"/>
        <v>3</v>
      </c>
      <c r="P97" s="34">
        <f t="shared" si="75"/>
        <v>0.13636363636363635</v>
      </c>
      <c r="Q97" s="59">
        <f t="shared" si="76"/>
        <v>2.7272727272727271E-2</v>
      </c>
      <c r="R97" s="4"/>
      <c r="S97" s="4">
        <f t="shared" si="77"/>
        <v>0</v>
      </c>
      <c r="T97" s="4">
        <f t="shared" si="77"/>
        <v>-0.5</v>
      </c>
      <c r="U97" s="4">
        <f t="shared" si="77"/>
        <v>0</v>
      </c>
      <c r="V97" s="4">
        <f t="shared" si="77"/>
        <v>0</v>
      </c>
      <c r="W97" s="4">
        <f t="shared" si="78"/>
        <v>-0.5</v>
      </c>
      <c r="X97" s="59">
        <f t="shared" si="79"/>
        <v>-6.8181818181818177E-2</v>
      </c>
      <c r="Y97" s="4"/>
      <c r="Z97" s="4" t="str">
        <f>+FormularioFODA!B103</f>
        <v>3 - Tipo de cambio y competitividad. Se considera favorable si el esquema cambiario es previsible y sostiene precios competitivos en dólares.</v>
      </c>
    </row>
    <row r="98" spans="1:26" x14ac:dyDescent="0.25">
      <c r="A98" s="4"/>
      <c r="B98" s="4"/>
      <c r="C98" s="4" t="s">
        <v>571</v>
      </c>
      <c r="D98" s="4">
        <v>4</v>
      </c>
      <c r="E98" s="4">
        <f>+IF(FormularioFODA!D104="x",1,0)</f>
        <v>1</v>
      </c>
      <c r="F98" s="4">
        <f>+IF(FormularioFODA!E104="x",1,0)</f>
        <v>0</v>
      </c>
      <c r="G98" s="4">
        <f>+IF(FormularioFODA!F104="x",1,0)</f>
        <v>0</v>
      </c>
      <c r="H98" s="4">
        <f>+IF(FormularioFODA!G104="x",1,0)</f>
        <v>0</v>
      </c>
      <c r="I98" s="4">
        <f>+IF(FormularioFODA!H104="x",1,0)</f>
        <v>0</v>
      </c>
      <c r="J98" s="4">
        <f t="shared" si="73"/>
        <v>1</v>
      </c>
      <c r="K98" s="4">
        <f>+IF(FormularioFODA!J104="x",1,0)*K$2</f>
        <v>0</v>
      </c>
      <c r="L98" s="4">
        <f>+IF(FormularioFODA!K104="x",1,0)*L$2</f>
        <v>0</v>
      </c>
      <c r="M98" s="4">
        <f>+IF(FormularioFODA!L104="x",1,0)*M$2</f>
        <v>3</v>
      </c>
      <c r="N98" s="4">
        <f>+IF(FormularioFODA!M104="x",1,0)*N$2</f>
        <v>0</v>
      </c>
      <c r="O98" s="4">
        <f t="shared" si="74"/>
        <v>3</v>
      </c>
      <c r="P98" s="34">
        <f t="shared" si="75"/>
        <v>0.13636363636363635</v>
      </c>
      <c r="Q98" s="59">
        <f t="shared" si="76"/>
        <v>2.7272727272727271E-2</v>
      </c>
      <c r="R98" s="4"/>
      <c r="S98" s="4">
        <f t="shared" si="77"/>
        <v>0</v>
      </c>
      <c r="T98" s="4">
        <f t="shared" si="77"/>
        <v>0</v>
      </c>
      <c r="U98" s="4">
        <f t="shared" si="77"/>
        <v>0</v>
      </c>
      <c r="V98" s="4">
        <f t="shared" si="77"/>
        <v>0</v>
      </c>
      <c r="W98" s="4">
        <f t="shared" si="78"/>
        <v>0</v>
      </c>
      <c r="X98" s="59">
        <f t="shared" si="79"/>
        <v>0</v>
      </c>
      <c r="Y98" s="4"/>
      <c r="Z98" s="4" t="str">
        <f>+FormularioFODA!B104</f>
        <v>4 - Inflación y costos internos. Se considera favorable si la inflación no desbalancea salarios e insumos ni erosiona el margen frente al precio internacional.</v>
      </c>
    </row>
    <row r="99" spans="1:26" x14ac:dyDescent="0.25">
      <c r="A99" s="4"/>
      <c r="B99" s="4"/>
      <c r="C99" s="4" t="s">
        <v>575</v>
      </c>
      <c r="D99" s="4">
        <v>5</v>
      </c>
      <c r="E99" s="4">
        <f>+IF(FormularioFODA!D105="x",1,0)</f>
        <v>0</v>
      </c>
      <c r="F99" s="4">
        <f>+IF(FormularioFODA!E105="x",1,0)</f>
        <v>0</v>
      </c>
      <c r="G99" s="4">
        <f>+IF(FormularioFODA!F105="x",1,0)</f>
        <v>1</v>
      </c>
      <c r="H99" s="4">
        <f>+IF(FormularioFODA!G105="x",1,0)</f>
        <v>0</v>
      </c>
      <c r="I99" s="4">
        <f>+IF(FormularioFODA!H105="x",1,0)</f>
        <v>0</v>
      </c>
      <c r="J99" s="4">
        <f t="shared" si="73"/>
        <v>1</v>
      </c>
      <c r="K99" s="4">
        <f>+IF(FormularioFODA!J105="x",1,0)*K$2</f>
        <v>0</v>
      </c>
      <c r="L99" s="4">
        <f>+IF(FormularioFODA!K105="x",1,0)*L$2</f>
        <v>2</v>
      </c>
      <c r="M99" s="4">
        <f>+IF(FormularioFODA!L105="x",1,0)*M$2</f>
        <v>0</v>
      </c>
      <c r="N99" s="4">
        <f>+IF(FormularioFODA!M105="x",1,0)*N$2</f>
        <v>0</v>
      </c>
      <c r="O99" s="4">
        <f t="shared" si="74"/>
        <v>2</v>
      </c>
      <c r="P99" s="34">
        <f t="shared" si="75"/>
        <v>9.0909090909090912E-2</v>
      </c>
      <c r="Q99" s="59">
        <f t="shared" si="76"/>
        <v>1.8181818181818184E-2</v>
      </c>
      <c r="R99" s="4"/>
      <c r="S99" s="4">
        <f t="shared" si="77"/>
        <v>0</v>
      </c>
      <c r="T99" s="4">
        <f t="shared" si="77"/>
        <v>-0.5</v>
      </c>
      <c r="U99" s="4">
        <f t="shared" si="77"/>
        <v>0</v>
      </c>
      <c r="V99" s="4">
        <f t="shared" si="77"/>
        <v>0</v>
      </c>
      <c r="W99" s="4">
        <f t="shared" si="78"/>
        <v>-0.5</v>
      </c>
      <c r="X99" s="59">
        <f t="shared" si="79"/>
        <v>-4.5454545454545456E-2</v>
      </c>
      <c r="Y99" s="4"/>
      <c r="Z99" s="4" t="str">
        <f>+FormularioFODA!B105</f>
        <v>5 - Financiamiento y crédito para exportar. Se considera favorable si hay líneas de crédito y prefinanciación de exportaciones a tasas y plazos que permitan financiar el ciclo exportador.</v>
      </c>
    </row>
    <row r="100" spans="1:26" x14ac:dyDescent="0.25">
      <c r="A100" s="4"/>
      <c r="B100" s="4"/>
      <c r="C100" s="4" t="s">
        <v>579</v>
      </c>
      <c r="D100" s="4">
        <v>6</v>
      </c>
      <c r="E100" s="4">
        <f>+IF(FormularioFODA!D106="x",1,0)</f>
        <v>0</v>
      </c>
      <c r="F100" s="4">
        <f>+IF(FormularioFODA!E106="x",1,0)</f>
        <v>1</v>
      </c>
      <c r="G100" s="4">
        <f>+IF(FormularioFODA!F106="x",1,0)</f>
        <v>0</v>
      </c>
      <c r="H100" s="4">
        <f>+IF(FormularioFODA!G106="x",1,0)</f>
        <v>0</v>
      </c>
      <c r="I100" s="4">
        <f>+IF(FormularioFODA!H106="x",1,0)</f>
        <v>0</v>
      </c>
      <c r="J100" s="4">
        <f t="shared" si="73"/>
        <v>1</v>
      </c>
      <c r="K100" s="4">
        <f>+IF(FormularioFODA!J106="x",1,0)*K$2</f>
        <v>1</v>
      </c>
      <c r="L100" s="4">
        <f>+IF(FormularioFODA!K106="x",1,0)*L$2</f>
        <v>0</v>
      </c>
      <c r="M100" s="4">
        <f>+IF(FormularioFODA!L106="x",1,0)*M$2</f>
        <v>0</v>
      </c>
      <c r="N100" s="4">
        <f>+IF(FormularioFODA!M106="x",1,0)*N$2</f>
        <v>0</v>
      </c>
      <c r="O100" s="4">
        <f t="shared" si="74"/>
        <v>1</v>
      </c>
      <c r="P100" s="34">
        <f t="shared" si="75"/>
        <v>4.5454545454545456E-2</v>
      </c>
      <c r="Q100" s="59">
        <f t="shared" si="76"/>
        <v>9.0909090909090922E-3</v>
      </c>
      <c r="R100" s="4"/>
      <c r="S100" s="4">
        <f t="shared" si="77"/>
        <v>-1</v>
      </c>
      <c r="T100" s="4">
        <f t="shared" si="77"/>
        <v>0</v>
      </c>
      <c r="U100" s="4">
        <f t="shared" si="77"/>
        <v>0</v>
      </c>
      <c r="V100" s="4">
        <f t="shared" si="77"/>
        <v>0</v>
      </c>
      <c r="W100" s="4">
        <f t="shared" si="78"/>
        <v>-1</v>
      </c>
      <c r="X100" s="59">
        <f t="shared" si="79"/>
        <v>-4.5454545454545456E-2</v>
      </c>
      <c r="Y100" s="4"/>
      <c r="Z100" s="4" t="str">
        <f>+FormularioFODA!B106</f>
        <v>6 - Cobros y acceso a divisas. Se considera favorable si las normas de cobro y liquidación de divisas no restringen ni demoran el cobro de exportaciones ni el pago de insumos importados.</v>
      </c>
    </row>
    <row r="101" spans="1:26" x14ac:dyDescent="0.25">
      <c r="A101" s="4"/>
      <c r="B101" s="4"/>
      <c r="C101" s="4" t="s">
        <v>583</v>
      </c>
      <c r="D101" s="4">
        <v>7</v>
      </c>
      <c r="E101" s="4">
        <f>+IF(FormularioFODA!D107="x",1,0)</f>
        <v>0</v>
      </c>
      <c r="F101" s="4">
        <f>+IF(FormularioFODA!E107="x",1,0)</f>
        <v>0</v>
      </c>
      <c r="G101" s="4">
        <f>+IF(FormularioFODA!F107="x",1,0)</f>
        <v>0</v>
      </c>
      <c r="H101" s="4">
        <f>+IF(FormularioFODA!G107="x",1,0)</f>
        <v>1</v>
      </c>
      <c r="I101" s="4">
        <f>+IF(FormularioFODA!H107="x",1,0)</f>
        <v>0</v>
      </c>
      <c r="J101" s="4">
        <f t="shared" si="73"/>
        <v>1</v>
      </c>
      <c r="K101" s="4">
        <f>+IF(FormularioFODA!J107="x",1,0)*K$2</f>
        <v>0</v>
      </c>
      <c r="L101" s="4">
        <f>+IF(FormularioFODA!K107="x",1,0)*L$2</f>
        <v>2</v>
      </c>
      <c r="M101" s="4">
        <f>+IF(FormularioFODA!L107="x",1,0)*M$2</f>
        <v>0</v>
      </c>
      <c r="N101" s="4">
        <f>+IF(FormularioFODA!M107="x",1,0)*N$2</f>
        <v>0</v>
      </c>
      <c r="O101" s="4">
        <f t="shared" si="74"/>
        <v>2</v>
      </c>
      <c r="P101" s="34">
        <f t="shared" si="75"/>
        <v>9.0909090909090912E-2</v>
      </c>
      <c r="Q101" s="59">
        <f t="shared" si="76"/>
        <v>1.8181818181818184E-2</v>
      </c>
      <c r="R101" s="4"/>
      <c r="S101" s="4">
        <f t="shared" si="77"/>
        <v>0</v>
      </c>
      <c r="T101" s="4">
        <f t="shared" si="77"/>
        <v>0</v>
      </c>
      <c r="U101" s="4">
        <f t="shared" si="77"/>
        <v>0.5</v>
      </c>
      <c r="V101" s="4">
        <f t="shared" si="77"/>
        <v>0</v>
      </c>
      <c r="W101" s="4">
        <f t="shared" si="78"/>
        <v>0.5</v>
      </c>
      <c r="X101" s="59">
        <f t="shared" si="79"/>
        <v>4.5454545454545456E-2</v>
      </c>
      <c r="Y101" s="4"/>
      <c r="Z101" s="4" t="str">
        <f>+FormularioFODA!B107</f>
        <v>7 - Impuestos, derechos de exportación y reintegros. Se considera favorable si la carga tributaria (derechos de exportación, IVA, ingresos brutos, reintegros) no resta competitividad al producto.</v>
      </c>
    </row>
    <row r="102" spans="1:26" x14ac:dyDescent="0.25">
      <c r="A102" s="4"/>
      <c r="B102" s="4"/>
      <c r="C102" s="4" t="s">
        <v>587</v>
      </c>
      <c r="D102" s="4">
        <v>8</v>
      </c>
      <c r="E102" s="4">
        <f>+IF(FormularioFODA!D108="x",1,0)</f>
        <v>0</v>
      </c>
      <c r="F102" s="4">
        <f>+IF(FormularioFODA!E108="x",1,0)</f>
        <v>0</v>
      </c>
      <c r="G102" s="4">
        <f>+IF(FormularioFODA!F108="x",1,0)</f>
        <v>0</v>
      </c>
      <c r="H102" s="4">
        <f>+IF(FormularioFODA!G108="x",1,0)</f>
        <v>1</v>
      </c>
      <c r="I102" s="4">
        <f>+IF(FormularioFODA!H108="x",1,0)</f>
        <v>0</v>
      </c>
      <c r="J102" s="4">
        <f t="shared" si="73"/>
        <v>1</v>
      </c>
      <c r="K102" s="4">
        <f>+IF(FormularioFODA!J108="x",1,0)*K$2</f>
        <v>0</v>
      </c>
      <c r="L102" s="4">
        <f>+IF(FormularioFODA!K108="x",1,0)*L$2</f>
        <v>0</v>
      </c>
      <c r="M102" s="4">
        <f>+IF(FormularioFODA!L108="x",1,0)*M$2</f>
        <v>3</v>
      </c>
      <c r="N102" s="4">
        <f>+IF(FormularioFODA!M108="x",1,0)*N$2</f>
        <v>0</v>
      </c>
      <c r="O102" s="4">
        <f t="shared" si="74"/>
        <v>3</v>
      </c>
      <c r="P102" s="34">
        <f t="shared" si="75"/>
        <v>0.13636363636363635</v>
      </c>
      <c r="Q102" s="59">
        <f t="shared" si="76"/>
        <v>2.7272727272727271E-2</v>
      </c>
      <c r="R102" s="4"/>
      <c r="S102" s="4">
        <f t="shared" si="77"/>
        <v>0</v>
      </c>
      <c r="T102" s="4">
        <f t="shared" si="77"/>
        <v>0</v>
      </c>
      <c r="U102" s="4">
        <f t="shared" si="77"/>
        <v>0.5</v>
      </c>
      <c r="V102" s="4">
        <f t="shared" si="77"/>
        <v>0</v>
      </c>
      <c r="W102" s="4">
        <f t="shared" si="78"/>
        <v>0.5</v>
      </c>
      <c r="X102" s="59">
        <f t="shared" si="79"/>
        <v>6.8181818181818177E-2</v>
      </c>
      <c r="Y102" s="4"/>
      <c r="Z102" s="4" t="str">
        <f>+FormularioFODA!B108</f>
        <v>8 - Precios internacionales del producto. Se considera favorable si los precios internacionales de referencia son estables o favorables y dejan margen a la empresa.</v>
      </c>
    </row>
    <row r="103" spans="1:26" x14ac:dyDescent="0.25">
      <c r="A103" s="4"/>
      <c r="B103" s="12" t="s">
        <v>826</v>
      </c>
      <c r="C103" s="4"/>
      <c r="D103" s="4"/>
      <c r="E103" s="12">
        <f t="shared" ref="E103:Q103" si="80">SUM(E95:E102)</f>
        <v>1</v>
      </c>
      <c r="F103" s="12">
        <f t="shared" si="80"/>
        <v>2</v>
      </c>
      <c r="G103" s="12">
        <f t="shared" si="80"/>
        <v>3</v>
      </c>
      <c r="H103" s="12">
        <f t="shared" si="80"/>
        <v>2</v>
      </c>
      <c r="I103" s="12">
        <f t="shared" si="80"/>
        <v>0</v>
      </c>
      <c r="J103" s="12">
        <f t="shared" si="80"/>
        <v>8</v>
      </c>
      <c r="K103" s="12">
        <f t="shared" si="80"/>
        <v>1</v>
      </c>
      <c r="L103" s="12">
        <f t="shared" si="80"/>
        <v>4</v>
      </c>
      <c r="M103" s="12">
        <f t="shared" si="80"/>
        <v>9</v>
      </c>
      <c r="N103" s="12">
        <f t="shared" si="80"/>
        <v>8</v>
      </c>
      <c r="O103" s="12">
        <f t="shared" si="80"/>
        <v>22</v>
      </c>
      <c r="P103" s="60">
        <f t="shared" si="80"/>
        <v>1</v>
      </c>
      <c r="Q103" s="61">
        <f t="shared" si="80"/>
        <v>0.20000000000000004</v>
      </c>
      <c r="R103" s="4"/>
      <c r="S103" s="4"/>
      <c r="T103" s="4"/>
      <c r="U103" s="4"/>
      <c r="V103" s="4"/>
      <c r="W103" s="4"/>
      <c r="X103" s="61">
        <f>SUM(X95:X102)</f>
        <v>-0.31818181818181818</v>
      </c>
      <c r="Y103" s="4"/>
      <c r="Z103" s="4"/>
    </row>
    <row r="104" spans="1:26" x14ac:dyDescent="0.25">
      <c r="A104" s="4"/>
      <c r="B104" s="4"/>
      <c r="C104" s="4"/>
      <c r="D104" s="4"/>
      <c r="E104" s="4"/>
      <c r="F104" s="4"/>
      <c r="G104" s="4"/>
      <c r="H104" s="4"/>
      <c r="I104" s="4"/>
      <c r="J104" s="4"/>
      <c r="K104" s="4"/>
      <c r="L104" s="4"/>
      <c r="M104" s="4"/>
      <c r="N104" s="4"/>
      <c r="O104" s="4"/>
      <c r="P104" s="34"/>
      <c r="Q104" s="59"/>
      <c r="R104" s="4"/>
      <c r="S104" s="4"/>
      <c r="T104" s="4"/>
      <c r="U104" s="4"/>
      <c r="V104" s="4"/>
      <c r="W104" s="4"/>
      <c r="X104" s="59"/>
      <c r="Y104" s="4"/>
      <c r="Z104" s="4"/>
    </row>
    <row r="105" spans="1:26" x14ac:dyDescent="0.25">
      <c r="A105" s="4"/>
      <c r="B105" s="4" t="str">
        <f>+FormularioFODA!B110</f>
        <v>Ámbito Sociocultural</v>
      </c>
      <c r="C105" s="4" t="s">
        <v>591</v>
      </c>
      <c r="D105" s="4">
        <v>1</v>
      </c>
      <c r="E105" s="4">
        <f>+IF(FormularioFODA!D111="x",1,0)</f>
        <v>0</v>
      </c>
      <c r="F105" s="4">
        <f>+IF(FormularioFODA!E111="x",1,0)</f>
        <v>0</v>
      </c>
      <c r="G105" s="4">
        <f>+IF(FormularioFODA!F111="x",1,0)</f>
        <v>1</v>
      </c>
      <c r="H105" s="4">
        <f>+IF(FormularioFODA!G111="x",1,0)</f>
        <v>0</v>
      </c>
      <c r="I105" s="4">
        <f>+IF(FormularioFODA!H111="x",1,0)</f>
        <v>0</v>
      </c>
      <c r="J105" s="4">
        <f>SUM(E105:I105)</f>
        <v>1</v>
      </c>
      <c r="K105" s="4">
        <f>+IF(FormularioFODA!J111="x",1,0)*K$2</f>
        <v>1</v>
      </c>
      <c r="L105" s="4">
        <f>+IF(FormularioFODA!K111="x",1,0)*L$2</f>
        <v>0</v>
      </c>
      <c r="M105" s="4">
        <f>+IF(FormularioFODA!L111="x",1,0)*M$2</f>
        <v>0</v>
      </c>
      <c r="N105" s="4">
        <f>+IF(FormularioFODA!M111="x",1,0)*N$2</f>
        <v>0</v>
      </c>
      <c r="O105" s="4">
        <f>SUM(K105:N105)</f>
        <v>1</v>
      </c>
      <c r="P105" s="34">
        <f>IF($O$110=0,0,O105/$O$110)</f>
        <v>7.6923076923076927E-2</v>
      </c>
      <c r="Q105" s="59">
        <f>+(J105/$I$2)*P105</f>
        <v>1.5384615384615385E-2</v>
      </c>
      <c r="R105" s="4"/>
      <c r="S105" s="4">
        <f t="shared" ref="S105:V109" si="81">+F105*S$2</f>
        <v>0</v>
      </c>
      <c r="T105" s="4">
        <f t="shared" si="81"/>
        <v>-0.5</v>
      </c>
      <c r="U105" s="4">
        <f t="shared" si="81"/>
        <v>0</v>
      </c>
      <c r="V105" s="4">
        <f t="shared" si="81"/>
        <v>0</v>
      </c>
      <c r="W105" s="4">
        <f>SUM(S105:V105)</f>
        <v>-0.5</v>
      </c>
      <c r="X105" s="59">
        <f>+W105*P105</f>
        <v>-3.8461538461538464E-2</v>
      </c>
      <c r="Y105" s="4"/>
      <c r="Z105" s="4" t="str">
        <f>+FormularioFODA!B111</f>
        <v>1 - Afinidad cultural y hábitos de consumo. Se considera favorable si el uso, el gusto y los hábitos de consumo del destino coinciden con lo que la empresa ofrece.</v>
      </c>
    </row>
    <row r="106" spans="1:26" x14ac:dyDescent="0.25">
      <c r="A106" s="4"/>
      <c r="B106" s="4"/>
      <c r="C106" s="4" t="s">
        <v>596</v>
      </c>
      <c r="D106" s="4">
        <v>2</v>
      </c>
      <c r="E106" s="4">
        <f>+IF(FormularioFODA!D112="x",1,0)</f>
        <v>0</v>
      </c>
      <c r="F106" s="4">
        <f>+IF(FormularioFODA!E112="x",1,0)</f>
        <v>0</v>
      </c>
      <c r="G106" s="4">
        <f>+IF(FormularioFODA!F112="x",1,0)</f>
        <v>0</v>
      </c>
      <c r="H106" s="4">
        <f>+IF(FormularioFODA!G112="x",1,0)</f>
        <v>0</v>
      </c>
      <c r="I106" s="4">
        <f>+IF(FormularioFODA!H112="x",1,0)</f>
        <v>1</v>
      </c>
      <c r="J106" s="4">
        <f>SUM(E106:I106)</f>
        <v>1</v>
      </c>
      <c r="K106" s="4">
        <f>+IF(FormularioFODA!J112="x",1,0)*K$2</f>
        <v>0</v>
      </c>
      <c r="L106" s="4">
        <f>+IF(FormularioFODA!K112="x",1,0)*L$2</f>
        <v>0</v>
      </c>
      <c r="M106" s="4">
        <f>+IF(FormularioFODA!L112="x",1,0)*M$2</f>
        <v>3</v>
      </c>
      <c r="N106" s="4">
        <f>+IF(FormularioFODA!M112="x",1,0)*N$2</f>
        <v>0</v>
      </c>
      <c r="O106" s="4">
        <f>SUM(K106:N106)</f>
        <v>3</v>
      </c>
      <c r="P106" s="34">
        <f>IF($O$110=0,0,O106/$O$110)</f>
        <v>0.23076923076923078</v>
      </c>
      <c r="Q106" s="59">
        <f>+(J106/$I$2)*P106</f>
        <v>4.6153846153846156E-2</v>
      </c>
      <c r="R106" s="4"/>
      <c r="S106" s="4">
        <f t="shared" si="81"/>
        <v>0</v>
      </c>
      <c r="T106" s="4">
        <f t="shared" si="81"/>
        <v>0</v>
      </c>
      <c r="U106" s="4">
        <f t="shared" si="81"/>
        <v>0</v>
      </c>
      <c r="V106" s="4">
        <f t="shared" si="81"/>
        <v>1</v>
      </c>
      <c r="W106" s="4">
        <f>SUM(S106:V106)</f>
        <v>1</v>
      </c>
      <c r="X106" s="59">
        <f>+W106*P106</f>
        <v>0.23076923076923078</v>
      </c>
      <c r="Y106" s="4"/>
      <c r="Z106" s="4" t="str">
        <f>+FormularioFODA!B112</f>
        <v>2 - Idioma y cercanía cultural. Se considera favorable si hay cercanía idiomática y cultural (español, portugués, guaraní) con mercados vecinos que facilita negociar.</v>
      </c>
    </row>
    <row r="107" spans="1:26" x14ac:dyDescent="0.25">
      <c r="A107" s="4"/>
      <c r="B107" s="4"/>
      <c r="C107" s="4" t="s">
        <v>600</v>
      </c>
      <c r="D107" s="4">
        <v>3</v>
      </c>
      <c r="E107" s="4">
        <f>+IF(FormularioFODA!D113="x",1,0)</f>
        <v>0</v>
      </c>
      <c r="F107" s="4">
        <f>+IF(FormularioFODA!E113="x",1,0)</f>
        <v>0</v>
      </c>
      <c r="G107" s="4">
        <f>+IF(FormularioFODA!F113="x",1,0)</f>
        <v>1</v>
      </c>
      <c r="H107" s="4">
        <f>+IF(FormularioFODA!G113="x",1,0)</f>
        <v>0</v>
      </c>
      <c r="I107" s="4">
        <f>+IF(FormularioFODA!H113="x",1,0)</f>
        <v>0</v>
      </c>
      <c r="J107" s="4">
        <f>SUM(E107:I107)</f>
        <v>1</v>
      </c>
      <c r="K107" s="4">
        <f>+IF(FormularioFODA!J113="x",1,0)*K$2</f>
        <v>0</v>
      </c>
      <c r="L107" s="4">
        <f>+IF(FormularioFODA!K113="x",1,0)*L$2</f>
        <v>0</v>
      </c>
      <c r="M107" s="4">
        <f>+IF(FormularioFODA!L113="x",1,0)*M$2</f>
        <v>3</v>
      </c>
      <c r="N107" s="4">
        <f>+IF(FormularioFODA!M113="x",1,0)*N$2</f>
        <v>0</v>
      </c>
      <c r="O107" s="4">
        <f>SUM(K107:N107)</f>
        <v>3</v>
      </c>
      <c r="P107" s="34">
        <f>IF($O$110=0,0,O107/$O$110)</f>
        <v>0.23076923076923078</v>
      </c>
      <c r="Q107" s="59">
        <f>+(J107/$I$2)*P107</f>
        <v>4.6153846153846156E-2</v>
      </c>
      <c r="R107" s="4"/>
      <c r="S107" s="4">
        <f t="shared" si="81"/>
        <v>0</v>
      </c>
      <c r="T107" s="4">
        <f t="shared" si="81"/>
        <v>-0.5</v>
      </c>
      <c r="U107" s="4">
        <f t="shared" si="81"/>
        <v>0</v>
      </c>
      <c r="V107" s="4">
        <f t="shared" si="81"/>
        <v>0</v>
      </c>
      <c r="W107" s="4">
        <f>SUM(S107:V107)</f>
        <v>-0.5</v>
      </c>
      <c r="X107" s="59">
        <f>+W107*P107</f>
        <v>-0.11538461538461539</v>
      </c>
      <c r="Y107" s="4"/>
      <c r="Z107" s="4" t="str">
        <f>+FormularioFODA!B113</f>
        <v>3 - Valoración del origen y la sustentabilidad. Se considera favorable si los compradores valoran la trazabilidad, la sustentabilidad y el origen del producto y están dispuestos a pagar por ello.</v>
      </c>
    </row>
    <row r="108" spans="1:26" x14ac:dyDescent="0.25">
      <c r="A108" s="4"/>
      <c r="B108" s="4"/>
      <c r="C108" s="4" t="s">
        <v>604</v>
      </c>
      <c r="D108" s="4">
        <v>4</v>
      </c>
      <c r="E108" s="4">
        <f>+IF(FormularioFODA!D114="x",1,0)</f>
        <v>0</v>
      </c>
      <c r="F108" s="4">
        <f>+IF(FormularioFODA!E114="x",1,0)</f>
        <v>0</v>
      </c>
      <c r="G108" s="4">
        <f>+IF(FormularioFODA!F114="x",1,0)</f>
        <v>0</v>
      </c>
      <c r="H108" s="4">
        <f>+IF(FormularioFODA!G114="x",1,0)</f>
        <v>1</v>
      </c>
      <c r="I108" s="4">
        <f>+IF(FormularioFODA!H114="x",1,0)</f>
        <v>0</v>
      </c>
      <c r="J108" s="4">
        <f>SUM(E108:I108)</f>
        <v>1</v>
      </c>
      <c r="K108" s="4">
        <f>+IF(FormularioFODA!J114="x",1,0)*K$2</f>
        <v>0</v>
      </c>
      <c r="L108" s="4">
        <f>+IF(FormularioFODA!K114="x",1,0)*L$2</f>
        <v>2</v>
      </c>
      <c r="M108" s="4">
        <f>+IF(FormularioFODA!L114="x",1,0)*M$2</f>
        <v>0</v>
      </c>
      <c r="N108" s="4">
        <f>+IF(FormularioFODA!M114="x",1,0)*N$2</f>
        <v>0</v>
      </c>
      <c r="O108" s="4">
        <f>SUM(K108:N108)</f>
        <v>2</v>
      </c>
      <c r="P108" s="34">
        <f>IF($O$110=0,0,O108/$O$110)</f>
        <v>0.15384615384615385</v>
      </c>
      <c r="Q108" s="59">
        <f>+(J108/$I$2)*P108</f>
        <v>3.0769230769230771E-2</v>
      </c>
      <c r="R108" s="4"/>
      <c r="S108" s="4">
        <f t="shared" si="81"/>
        <v>0</v>
      </c>
      <c r="T108" s="4">
        <f t="shared" si="81"/>
        <v>0</v>
      </c>
      <c r="U108" s="4">
        <f t="shared" si="81"/>
        <v>0.5</v>
      </c>
      <c r="V108" s="4">
        <f t="shared" si="81"/>
        <v>0</v>
      </c>
      <c r="W108" s="4">
        <f>SUM(S108:V108)</f>
        <v>0.5</v>
      </c>
      <c r="X108" s="59">
        <f>+W108*P108</f>
        <v>7.6923076923076927E-2</v>
      </c>
      <c r="Y108" s="4"/>
      <c r="Z108" s="4" t="str">
        <f>+FormularioFODA!B114</f>
        <v>4 - Formación técnica y mano de obra regional. Se considera favorable si la región ofrece formación técnica y mano de obra calificada suficiente (tecnicaturas, universidades, formación profesional).</v>
      </c>
    </row>
    <row r="109" spans="1:26" x14ac:dyDescent="0.25">
      <c r="A109" s="4"/>
      <c r="B109" s="4"/>
      <c r="C109" s="4" t="s">
        <v>608</v>
      </c>
      <c r="D109" s="4">
        <v>5</v>
      </c>
      <c r="E109" s="4">
        <f>+IF(FormularioFODA!D115="x",1,0)</f>
        <v>0</v>
      </c>
      <c r="F109" s="4">
        <f>+IF(FormularioFODA!E115="x",1,0)</f>
        <v>0</v>
      </c>
      <c r="G109" s="4">
        <f>+IF(FormularioFODA!F115="x",1,0)</f>
        <v>0</v>
      </c>
      <c r="H109" s="4">
        <f>+IF(FormularioFODA!G115="x",1,0)</f>
        <v>0</v>
      </c>
      <c r="I109" s="4">
        <f>+IF(FormularioFODA!H115="x",1,0)</f>
        <v>1</v>
      </c>
      <c r="J109" s="4">
        <f>SUM(E109:I109)</f>
        <v>1</v>
      </c>
      <c r="K109" s="4">
        <f>+IF(FormularioFODA!J115="x",1,0)*K$2</f>
        <v>0</v>
      </c>
      <c r="L109" s="4">
        <f>+IF(FormularioFODA!K115="x",1,0)*L$2</f>
        <v>0</v>
      </c>
      <c r="M109" s="4">
        <f>+IF(FormularioFODA!L115="x",1,0)*M$2</f>
        <v>0</v>
      </c>
      <c r="N109" s="4">
        <f>+IF(FormularioFODA!M115="x",1,0)*N$2</f>
        <v>4</v>
      </c>
      <c r="O109" s="4">
        <f>SUM(K109:N109)</f>
        <v>4</v>
      </c>
      <c r="P109" s="34">
        <f>IF($O$110=0,0,O109/$O$110)</f>
        <v>0.30769230769230771</v>
      </c>
      <c r="Q109" s="59">
        <f>+(J109/$I$2)*P109</f>
        <v>6.1538461538461542E-2</v>
      </c>
      <c r="R109" s="4"/>
      <c r="S109" s="4">
        <f t="shared" si="81"/>
        <v>0</v>
      </c>
      <c r="T109" s="4">
        <f t="shared" si="81"/>
        <v>0</v>
      </c>
      <c r="U109" s="4">
        <f t="shared" si="81"/>
        <v>0</v>
      </c>
      <c r="V109" s="4">
        <f t="shared" si="81"/>
        <v>1</v>
      </c>
      <c r="W109" s="4">
        <f>SUM(S109:V109)</f>
        <v>1</v>
      </c>
      <c r="X109" s="59">
        <f>+W109*P109</f>
        <v>0.30769230769230771</v>
      </c>
      <c r="Y109" s="4"/>
      <c r="Z109" s="4" t="str">
        <f>+FormularioFODA!B115</f>
        <v>5 - Asociativismo y cultura exportadora regional. Se considera favorable si hay tradición exportadora, clusters, cámaras y empresas que cooperan (consorcios) en el sector.</v>
      </c>
    </row>
    <row r="110" spans="1:26" x14ac:dyDescent="0.25">
      <c r="A110" s="4"/>
      <c r="B110" s="12" t="s">
        <v>827</v>
      </c>
      <c r="C110" s="4"/>
      <c r="D110" s="4"/>
      <c r="E110" s="12">
        <f t="shared" ref="E110:Q110" si="82">SUM(E105:E109)</f>
        <v>0</v>
      </c>
      <c r="F110" s="12">
        <f t="shared" si="82"/>
        <v>0</v>
      </c>
      <c r="G110" s="12">
        <f t="shared" si="82"/>
        <v>2</v>
      </c>
      <c r="H110" s="12">
        <f t="shared" si="82"/>
        <v>1</v>
      </c>
      <c r="I110" s="12">
        <f t="shared" si="82"/>
        <v>2</v>
      </c>
      <c r="J110" s="12">
        <f t="shared" si="82"/>
        <v>5</v>
      </c>
      <c r="K110" s="12">
        <f t="shared" si="82"/>
        <v>1</v>
      </c>
      <c r="L110" s="12">
        <f t="shared" si="82"/>
        <v>2</v>
      </c>
      <c r="M110" s="12">
        <f t="shared" si="82"/>
        <v>6</v>
      </c>
      <c r="N110" s="12">
        <f t="shared" si="82"/>
        <v>4</v>
      </c>
      <c r="O110" s="12">
        <f t="shared" si="82"/>
        <v>13</v>
      </c>
      <c r="P110" s="60">
        <f t="shared" si="82"/>
        <v>1</v>
      </c>
      <c r="Q110" s="61">
        <f t="shared" si="82"/>
        <v>0.2</v>
      </c>
      <c r="R110" s="4"/>
      <c r="S110" s="4"/>
      <c r="T110" s="4"/>
      <c r="U110" s="4"/>
      <c r="V110" s="4"/>
      <c r="W110" s="4"/>
      <c r="X110" s="61">
        <f>SUM(X105:X109)</f>
        <v>0.46153846153846156</v>
      </c>
      <c r="Y110" s="4"/>
      <c r="Z110" s="4"/>
    </row>
    <row r="111" spans="1:26" x14ac:dyDescent="0.25">
      <c r="A111" s="4"/>
      <c r="B111" s="4"/>
      <c r="C111" s="4"/>
      <c r="D111" s="4"/>
      <c r="E111" s="4"/>
      <c r="F111" s="4"/>
      <c r="G111" s="4"/>
      <c r="H111" s="4"/>
      <c r="I111" s="4"/>
      <c r="J111" s="4"/>
      <c r="K111" s="4"/>
      <c r="L111" s="4"/>
      <c r="M111" s="4"/>
      <c r="N111" s="4"/>
      <c r="O111" s="4"/>
      <c r="P111" s="34"/>
      <c r="Q111" s="59"/>
      <c r="R111" s="4"/>
      <c r="S111" s="4"/>
      <c r="T111" s="4"/>
      <c r="U111" s="4"/>
      <c r="V111" s="4"/>
      <c r="W111" s="4"/>
      <c r="X111" s="59"/>
      <c r="Y111" s="4"/>
      <c r="Z111" s="4"/>
    </row>
    <row r="112" spans="1:26" x14ac:dyDescent="0.25">
      <c r="A112" s="4"/>
      <c r="B112" s="4" t="str">
        <f>+FormularioFODA!B117</f>
        <v>Ámbito Tecnológico y Digital</v>
      </c>
      <c r="C112" s="4" t="s">
        <v>612</v>
      </c>
      <c r="D112" s="4">
        <v>1</v>
      </c>
      <c r="E112" s="4">
        <f>+IF(FormularioFODA!D118="x",1,0)</f>
        <v>0</v>
      </c>
      <c r="F112" s="4">
        <f>+IF(FormularioFODA!E118="x",1,0)</f>
        <v>0</v>
      </c>
      <c r="G112" s="4">
        <f>+IF(FormularioFODA!F118="x",1,0)</f>
        <v>1</v>
      </c>
      <c r="H112" s="4">
        <f>+IF(FormularioFODA!G118="x",1,0)</f>
        <v>0</v>
      </c>
      <c r="I112" s="4">
        <f>+IF(FormularioFODA!H118="x",1,0)</f>
        <v>0</v>
      </c>
      <c r="J112" s="4">
        <f>SUM(E112:I112)</f>
        <v>1</v>
      </c>
      <c r="K112" s="4">
        <f>+IF(FormularioFODA!J118="x",1,0)*K$2</f>
        <v>0</v>
      </c>
      <c r="L112" s="4">
        <f>+IF(FormularioFODA!K118="x",1,0)*L$2</f>
        <v>2</v>
      </c>
      <c r="M112" s="4">
        <f>+IF(FormularioFODA!L118="x",1,0)*M$2</f>
        <v>0</v>
      </c>
      <c r="N112" s="4">
        <f>+IF(FormularioFODA!M118="x",1,0)*N$2</f>
        <v>0</v>
      </c>
      <c r="O112" s="4">
        <f>SUM(K112:N112)</f>
        <v>2</v>
      </c>
      <c r="P112" s="34">
        <f>IF($O$116=0,0,O112/$O$116)</f>
        <v>0.18181818181818182</v>
      </c>
      <c r="Q112" s="59">
        <f>+(J112/$I$2)*P112</f>
        <v>3.6363636363636369E-2</v>
      </c>
      <c r="R112" s="4"/>
      <c r="S112" s="4">
        <f t="shared" ref="S112:V115" si="83">+F112*S$2</f>
        <v>0</v>
      </c>
      <c r="T112" s="4">
        <f t="shared" si="83"/>
        <v>-0.5</v>
      </c>
      <c r="U112" s="4">
        <f t="shared" si="83"/>
        <v>0</v>
      </c>
      <c r="V112" s="4">
        <f t="shared" si="83"/>
        <v>0</v>
      </c>
      <c r="W112" s="4">
        <f>SUM(S112:V112)</f>
        <v>-0.5</v>
      </c>
      <c r="X112" s="59">
        <f>+W112*P112</f>
        <v>-9.0909090909090912E-2</v>
      </c>
      <c r="Y112" s="4"/>
      <c r="Z112" s="4" t="str">
        <f>+FormularioFODA!B118</f>
        <v>1 - Avances tecnológicos del sector. Se considera favorable si la tecnología disponible (maquinaria, secado, automatización, embalaje) es accesible y mejora costos y calidad.</v>
      </c>
    </row>
    <row r="113" spans="1:26" x14ac:dyDescent="0.25">
      <c r="A113" s="4"/>
      <c r="B113" s="4"/>
      <c r="C113" s="4" t="s">
        <v>617</v>
      </c>
      <c r="D113" s="4">
        <v>2</v>
      </c>
      <c r="E113" s="4">
        <f>+IF(FormularioFODA!D119="x",1,0)</f>
        <v>0</v>
      </c>
      <c r="F113" s="4">
        <f>+IF(FormularioFODA!E119="x",1,0)</f>
        <v>1</v>
      </c>
      <c r="G113" s="4">
        <f>+IF(FormularioFODA!F119="x",1,0)</f>
        <v>0</v>
      </c>
      <c r="H113" s="4">
        <f>+IF(FormularioFODA!G119="x",1,0)</f>
        <v>0</v>
      </c>
      <c r="I113" s="4">
        <f>+IF(FormularioFODA!H119="x",1,0)</f>
        <v>0</v>
      </c>
      <c r="J113" s="4">
        <f>SUM(E113:I113)</f>
        <v>1</v>
      </c>
      <c r="K113" s="4">
        <f>+IF(FormularioFODA!J119="x",1,0)*K$2</f>
        <v>0</v>
      </c>
      <c r="L113" s="4">
        <f>+IF(FormularioFODA!K119="x",1,0)*L$2</f>
        <v>0</v>
      </c>
      <c r="M113" s="4">
        <f>+IF(FormularioFODA!L119="x",1,0)*M$2</f>
        <v>3</v>
      </c>
      <c r="N113" s="4">
        <f>+IF(FormularioFODA!M119="x",1,0)*N$2</f>
        <v>0</v>
      </c>
      <c r="O113" s="4">
        <f>SUM(K113:N113)</f>
        <v>3</v>
      </c>
      <c r="P113" s="34">
        <f>IF($O$116=0,0,O113/$O$116)</f>
        <v>0.27272727272727271</v>
      </c>
      <c r="Q113" s="59">
        <f>+(J113/$I$2)*P113</f>
        <v>5.4545454545454543E-2</v>
      </c>
      <c r="R113" s="4"/>
      <c r="S113" s="4">
        <f t="shared" si="83"/>
        <v>-1</v>
      </c>
      <c r="T113" s="4">
        <f t="shared" si="83"/>
        <v>0</v>
      </c>
      <c r="U113" s="4">
        <f t="shared" si="83"/>
        <v>0</v>
      </c>
      <c r="V113" s="4">
        <f t="shared" si="83"/>
        <v>0</v>
      </c>
      <c r="W113" s="4">
        <f>SUM(S113:V113)</f>
        <v>-1</v>
      </c>
      <c r="X113" s="59">
        <f>+W113*P113</f>
        <v>-0.27272727272727271</v>
      </c>
      <c r="Y113" s="4"/>
      <c r="Z113" s="4" t="str">
        <f>+FormularioFODA!B119</f>
        <v>2 - Conectividad y plataformas de comercio electrónico. Se considera favorable si la conectividad de la región y las plataformas B2B permiten vender, negociar y hacer seguimiento a distancia.</v>
      </c>
    </row>
    <row r="114" spans="1:26" x14ac:dyDescent="0.25">
      <c r="A114" s="4"/>
      <c r="B114" s="4"/>
      <c r="C114" s="4" t="s">
        <v>621</v>
      </c>
      <c r="D114" s="4">
        <v>3</v>
      </c>
      <c r="E114" s="4">
        <f>+IF(FormularioFODA!D120="x",1,0)</f>
        <v>0</v>
      </c>
      <c r="F114" s="4">
        <f>+IF(FormularioFODA!E120="x",1,0)</f>
        <v>0</v>
      </c>
      <c r="G114" s="4">
        <f>+IF(FormularioFODA!F120="x",1,0)</f>
        <v>1</v>
      </c>
      <c r="H114" s="4">
        <f>+IF(FormularioFODA!G120="x",1,0)</f>
        <v>0</v>
      </c>
      <c r="I114" s="4">
        <f>+IF(FormularioFODA!H120="x",1,0)</f>
        <v>0</v>
      </c>
      <c r="J114" s="4">
        <f>SUM(E114:I114)</f>
        <v>1</v>
      </c>
      <c r="K114" s="4">
        <f>+IF(FormularioFODA!J120="x",1,0)*K$2</f>
        <v>0</v>
      </c>
      <c r="L114" s="4">
        <f>+IF(FormularioFODA!K120="x",1,0)*L$2</f>
        <v>0</v>
      </c>
      <c r="M114" s="4">
        <f>+IF(FormularioFODA!L120="x",1,0)*M$2</f>
        <v>3</v>
      </c>
      <c r="N114" s="4">
        <f>+IF(FormularioFODA!M120="x",1,0)*N$2</f>
        <v>0</v>
      </c>
      <c r="O114" s="4">
        <f>SUM(K114:N114)</f>
        <v>3</v>
      </c>
      <c r="P114" s="34">
        <f>IF($O$116=0,0,O114/$O$116)</f>
        <v>0.27272727272727271</v>
      </c>
      <c r="Q114" s="59">
        <f>+(J114/$I$2)*P114</f>
        <v>5.4545454545454543E-2</v>
      </c>
      <c r="R114" s="4"/>
      <c r="S114" s="4">
        <f t="shared" si="83"/>
        <v>0</v>
      </c>
      <c r="T114" s="4">
        <f t="shared" si="83"/>
        <v>-0.5</v>
      </c>
      <c r="U114" s="4">
        <f t="shared" si="83"/>
        <v>0</v>
      </c>
      <c r="V114" s="4">
        <f t="shared" si="83"/>
        <v>0</v>
      </c>
      <c r="W114" s="4">
        <f>SUM(S114:V114)</f>
        <v>-0.5</v>
      </c>
      <c r="X114" s="59">
        <f>+W114*P114</f>
        <v>-0.13636363636363635</v>
      </c>
      <c r="Y114" s="4"/>
      <c r="Z114" s="4" t="str">
        <f>+FormularioFODA!B120</f>
        <v>3 - Digitalización del comercio exterior. Se considera favorable si existen trámites electrónicos (firma digital, permisos, certificado de origen digital) que reducen tiempo y costo.</v>
      </c>
    </row>
    <row r="115" spans="1:26" x14ac:dyDescent="0.25">
      <c r="A115" s="4"/>
      <c r="B115" s="4"/>
      <c r="C115" s="4" t="s">
        <v>625</v>
      </c>
      <c r="D115" s="4">
        <v>4</v>
      </c>
      <c r="E115" s="4">
        <f>+IF(FormularioFODA!D121="x",1,0)</f>
        <v>0</v>
      </c>
      <c r="F115" s="4">
        <f>+IF(FormularioFODA!E121="x",1,0)</f>
        <v>0</v>
      </c>
      <c r="G115" s="4">
        <f>+IF(FormularioFODA!F121="x",1,0)</f>
        <v>1</v>
      </c>
      <c r="H115" s="4">
        <f>+IF(FormularioFODA!G121="x",1,0)</f>
        <v>0</v>
      </c>
      <c r="I115" s="4">
        <f>+IF(FormularioFODA!H121="x",1,0)</f>
        <v>0</v>
      </c>
      <c r="J115" s="4">
        <f>SUM(E115:I115)</f>
        <v>1</v>
      </c>
      <c r="K115" s="4">
        <f>+IF(FormularioFODA!J121="x",1,0)*K$2</f>
        <v>0</v>
      </c>
      <c r="L115" s="4">
        <f>+IF(FormularioFODA!K121="x",1,0)*L$2</f>
        <v>0</v>
      </c>
      <c r="M115" s="4">
        <f>+IF(FormularioFODA!L121="x",1,0)*M$2</f>
        <v>3</v>
      </c>
      <c r="N115" s="4">
        <f>+IF(FormularioFODA!M121="x",1,0)*N$2</f>
        <v>0</v>
      </c>
      <c r="O115" s="4">
        <f>SUM(K115:N115)</f>
        <v>3</v>
      </c>
      <c r="P115" s="34">
        <f>IF($O$116=0,0,O115/$O$116)</f>
        <v>0.27272727272727271</v>
      </c>
      <c r="Q115" s="59">
        <f>+(J115/$I$2)*P115</f>
        <v>5.4545454545454543E-2</v>
      </c>
      <c r="R115" s="4"/>
      <c r="S115" s="4">
        <f t="shared" si="83"/>
        <v>0</v>
      </c>
      <c r="T115" s="4">
        <f t="shared" si="83"/>
        <v>-0.5</v>
      </c>
      <c r="U115" s="4">
        <f t="shared" si="83"/>
        <v>0</v>
      </c>
      <c r="V115" s="4">
        <f t="shared" si="83"/>
        <v>0</v>
      </c>
      <c r="W115" s="4">
        <f>SUM(S115:V115)</f>
        <v>-0.5</v>
      </c>
      <c r="X115" s="59">
        <f>+W115*P115</f>
        <v>-0.13636363636363635</v>
      </c>
      <c r="Y115" s="4"/>
      <c r="Z115" s="4" t="str">
        <f>+FormularioFODA!B121</f>
        <v>4 - Trazabilidad y certificación digital. Se considera favorable si hay herramientas accesibles para demostrar origen y cumplimiento que exigen los compradores.</v>
      </c>
    </row>
    <row r="116" spans="1:26" x14ac:dyDescent="0.25">
      <c r="A116" s="4"/>
      <c r="B116" s="12" t="s">
        <v>828</v>
      </c>
      <c r="C116" s="4"/>
      <c r="D116" s="4"/>
      <c r="E116" s="12">
        <f t="shared" ref="E116:Q116" si="84">SUM(E112:E115)</f>
        <v>0</v>
      </c>
      <c r="F116" s="12">
        <f t="shared" si="84"/>
        <v>1</v>
      </c>
      <c r="G116" s="12">
        <f t="shared" si="84"/>
        <v>3</v>
      </c>
      <c r="H116" s="12">
        <f t="shared" si="84"/>
        <v>0</v>
      </c>
      <c r="I116" s="12">
        <f t="shared" si="84"/>
        <v>0</v>
      </c>
      <c r="J116" s="12">
        <f t="shared" si="84"/>
        <v>4</v>
      </c>
      <c r="K116" s="12">
        <f t="shared" si="84"/>
        <v>0</v>
      </c>
      <c r="L116" s="12">
        <f t="shared" si="84"/>
        <v>2</v>
      </c>
      <c r="M116" s="12">
        <f t="shared" si="84"/>
        <v>9</v>
      </c>
      <c r="N116" s="12">
        <f t="shared" si="84"/>
        <v>0</v>
      </c>
      <c r="O116" s="12">
        <f t="shared" si="84"/>
        <v>11</v>
      </c>
      <c r="P116" s="60">
        <f t="shared" si="84"/>
        <v>1</v>
      </c>
      <c r="Q116" s="61">
        <f t="shared" si="84"/>
        <v>0.19999999999999998</v>
      </c>
      <c r="R116" s="4"/>
      <c r="S116" s="4"/>
      <c r="T116" s="4"/>
      <c r="U116" s="4"/>
      <c r="V116" s="4"/>
      <c r="W116" s="4"/>
      <c r="X116" s="61">
        <f>SUM(X112:X115)</f>
        <v>-0.63636363636363635</v>
      </c>
      <c r="Y116" s="4"/>
      <c r="Z116" s="4"/>
    </row>
    <row r="117" spans="1:26" x14ac:dyDescent="0.25">
      <c r="A117" s="4"/>
      <c r="B117" s="4"/>
      <c r="C117" s="4"/>
      <c r="D117" s="4"/>
      <c r="E117" s="4"/>
      <c r="F117" s="4"/>
      <c r="G117" s="4"/>
      <c r="H117" s="4"/>
      <c r="I117" s="4"/>
      <c r="J117" s="4"/>
      <c r="K117" s="4"/>
      <c r="L117" s="4"/>
      <c r="M117" s="4"/>
      <c r="N117" s="4"/>
      <c r="O117" s="4"/>
      <c r="P117" s="34"/>
      <c r="Q117" s="59"/>
      <c r="R117" s="4"/>
      <c r="S117" s="4"/>
      <c r="T117" s="4"/>
      <c r="U117" s="4"/>
      <c r="V117" s="4"/>
      <c r="W117" s="4"/>
      <c r="X117" s="59"/>
      <c r="Y117" s="4"/>
      <c r="Z117" s="4"/>
    </row>
    <row r="118" spans="1:26" x14ac:dyDescent="0.25">
      <c r="A118" s="4"/>
      <c r="B118" s="4" t="str">
        <f>+FormularioFODA!B123</f>
        <v>Logística e Infraestructura Regional</v>
      </c>
      <c r="C118" s="4" t="s">
        <v>629</v>
      </c>
      <c r="D118" s="4">
        <v>1</v>
      </c>
      <c r="E118" s="4">
        <f>+IF(FormularioFODA!D124="x",1,0)</f>
        <v>0</v>
      </c>
      <c r="F118" s="4">
        <f>+IF(FormularioFODA!E124="x",1,0)</f>
        <v>0</v>
      </c>
      <c r="G118" s="4">
        <f>+IF(FormularioFODA!F124="x",1,0)</f>
        <v>1</v>
      </c>
      <c r="H118" s="4">
        <f>+IF(FormularioFODA!G124="x",1,0)</f>
        <v>0</v>
      </c>
      <c r="I118" s="4">
        <f>+IF(FormularioFODA!H124="x",1,0)</f>
        <v>0</v>
      </c>
      <c r="J118" s="4">
        <f t="shared" ref="J118:J124" si="85">SUM(E118:I118)</f>
        <v>1</v>
      </c>
      <c r="K118" s="4">
        <f>+IF(FormularioFODA!J124="x",1,0)*K$2</f>
        <v>0</v>
      </c>
      <c r="L118" s="4">
        <f>+IF(FormularioFODA!K124="x",1,0)*L$2</f>
        <v>2</v>
      </c>
      <c r="M118" s="4">
        <f>+IF(FormularioFODA!L124="x",1,0)*M$2</f>
        <v>0</v>
      </c>
      <c r="N118" s="4">
        <f>+IF(FormularioFODA!M124="x",1,0)*N$2</f>
        <v>0</v>
      </c>
      <c r="O118" s="4">
        <f t="shared" ref="O118:O124" si="86">SUM(K118:N118)</f>
        <v>2</v>
      </c>
      <c r="P118" s="34">
        <f t="shared" ref="P118:P124" si="87">IF($O$125=0,0,O118/$O$125)</f>
        <v>9.0909090909090912E-2</v>
      </c>
      <c r="Q118" s="59">
        <f t="shared" ref="Q118:Q124" si="88">+(J118/$I$2)*P118</f>
        <v>1.8181818181818184E-2</v>
      </c>
      <c r="R118" s="4"/>
      <c r="S118" s="4">
        <f t="shared" ref="S118:V124" si="89">+F118*S$2</f>
        <v>0</v>
      </c>
      <c r="T118" s="4">
        <f t="shared" si="89"/>
        <v>-0.5</v>
      </c>
      <c r="U118" s="4">
        <f t="shared" si="89"/>
        <v>0</v>
      </c>
      <c r="V118" s="4">
        <f t="shared" si="89"/>
        <v>0</v>
      </c>
      <c r="W118" s="4">
        <f t="shared" ref="W118:W124" si="90">SUM(S118:V118)</f>
        <v>-0.5</v>
      </c>
      <c r="X118" s="59">
        <f t="shared" ref="X118:X124" si="91">+W118*P118</f>
        <v>-4.5454545454545456E-2</v>
      </c>
      <c r="Y118" s="4"/>
      <c r="Z118" s="4" t="str">
        <f>+FormularioFODA!B124</f>
        <v>1 - Red vial y conectividad multimodal. Se considera favorable si rutas y accesos (p. ej., RN 12 y RN 14) permiten trasladar la carga a frontera y puertos en tiempo y costo razonables.</v>
      </c>
    </row>
    <row r="119" spans="1:26" x14ac:dyDescent="0.25">
      <c r="A119" s="4"/>
      <c r="B119" s="4"/>
      <c r="C119" s="4" t="s">
        <v>634</v>
      </c>
      <c r="D119" s="4">
        <v>2</v>
      </c>
      <c r="E119" s="4">
        <f>+IF(FormularioFODA!D125="x",1,0)</f>
        <v>0</v>
      </c>
      <c r="F119" s="4">
        <f>+IF(FormularioFODA!E125="x",1,0)</f>
        <v>0</v>
      </c>
      <c r="G119" s="4">
        <f>+IF(FormularioFODA!F125="x",1,0)</f>
        <v>1</v>
      </c>
      <c r="H119" s="4">
        <f>+IF(FormularioFODA!G125="x",1,0)</f>
        <v>0</v>
      </c>
      <c r="I119" s="4">
        <f>+IF(FormularioFODA!H125="x",1,0)</f>
        <v>0</v>
      </c>
      <c r="J119" s="4">
        <f t="shared" si="85"/>
        <v>1</v>
      </c>
      <c r="K119" s="4">
        <f>+IF(FormularioFODA!J125="x",1,0)*K$2</f>
        <v>0</v>
      </c>
      <c r="L119" s="4">
        <f>+IF(FormularioFODA!K125="x",1,0)*L$2</f>
        <v>0</v>
      </c>
      <c r="M119" s="4">
        <f>+IF(FormularioFODA!L125="x",1,0)*M$2</f>
        <v>3</v>
      </c>
      <c r="N119" s="4">
        <f>+IF(FormularioFODA!M125="x",1,0)*N$2</f>
        <v>0</v>
      </c>
      <c r="O119" s="4">
        <f t="shared" si="86"/>
        <v>3</v>
      </c>
      <c r="P119" s="34">
        <f t="shared" si="87"/>
        <v>0.13636363636363635</v>
      </c>
      <c r="Q119" s="59">
        <f t="shared" si="88"/>
        <v>2.7272727272727271E-2</v>
      </c>
      <c r="R119" s="4"/>
      <c r="S119" s="4">
        <f t="shared" si="89"/>
        <v>0</v>
      </c>
      <c r="T119" s="4">
        <f t="shared" si="89"/>
        <v>-0.5</v>
      </c>
      <c r="U119" s="4">
        <f t="shared" si="89"/>
        <v>0</v>
      </c>
      <c r="V119" s="4">
        <f t="shared" si="89"/>
        <v>0</v>
      </c>
      <c r="W119" s="4">
        <f t="shared" si="90"/>
        <v>-0.5</v>
      </c>
      <c r="X119" s="59">
        <f t="shared" si="91"/>
        <v>-6.8181818181818177E-2</v>
      </c>
      <c r="Y119" s="4"/>
      <c r="Z119" s="4" t="str">
        <f>+FormularioFODA!B125</f>
        <v>2 - Pasos de frontera y puentes internacionales. Se considera favorable si los pasos y puentes (p. ej., Posadas–Encarnación, Bernardo de Irigoyen, Puerto Iguazú) operan sin demoras ni costos excesivos.</v>
      </c>
    </row>
    <row r="120" spans="1:26" x14ac:dyDescent="0.25">
      <c r="A120" s="4"/>
      <c r="B120" s="4"/>
      <c r="C120" s="4" t="s">
        <v>638</v>
      </c>
      <c r="D120" s="4">
        <v>3</v>
      </c>
      <c r="E120" s="4">
        <f>+IF(FormularioFODA!D126="x",1,0)</f>
        <v>0</v>
      </c>
      <c r="F120" s="4">
        <f>+IF(FormularioFODA!E126="x",1,0)</f>
        <v>0</v>
      </c>
      <c r="G120" s="4">
        <f>+IF(FormularioFODA!F126="x",1,0)</f>
        <v>1</v>
      </c>
      <c r="H120" s="4">
        <f>+IF(FormularioFODA!G126="x",1,0)</f>
        <v>0</v>
      </c>
      <c r="I120" s="4">
        <f>+IF(FormularioFODA!H126="x",1,0)</f>
        <v>0</v>
      </c>
      <c r="J120" s="4">
        <f t="shared" si="85"/>
        <v>1</v>
      </c>
      <c r="K120" s="4">
        <f>+IF(FormularioFODA!J126="x",1,0)*K$2</f>
        <v>0</v>
      </c>
      <c r="L120" s="4">
        <f>+IF(FormularioFODA!K126="x",1,0)*L$2</f>
        <v>0</v>
      </c>
      <c r="M120" s="4">
        <f>+IF(FormularioFODA!L126="x",1,0)*M$2</f>
        <v>0</v>
      </c>
      <c r="N120" s="4">
        <f>+IF(FormularioFODA!M126="x",1,0)*N$2</f>
        <v>4</v>
      </c>
      <c r="O120" s="4">
        <f t="shared" si="86"/>
        <v>4</v>
      </c>
      <c r="P120" s="34">
        <f t="shared" si="87"/>
        <v>0.18181818181818182</v>
      </c>
      <c r="Q120" s="59">
        <f t="shared" si="88"/>
        <v>3.6363636363636369E-2</v>
      </c>
      <c r="R120" s="4"/>
      <c r="S120" s="4">
        <f t="shared" si="89"/>
        <v>0</v>
      </c>
      <c r="T120" s="4">
        <f t="shared" si="89"/>
        <v>-0.5</v>
      </c>
      <c r="U120" s="4">
        <f t="shared" si="89"/>
        <v>0</v>
      </c>
      <c r="V120" s="4">
        <f t="shared" si="89"/>
        <v>0</v>
      </c>
      <c r="W120" s="4">
        <f t="shared" si="90"/>
        <v>-0.5</v>
      </c>
      <c r="X120" s="59">
        <f t="shared" si="91"/>
        <v>-9.0909090909090912E-2</v>
      </c>
      <c r="Y120" s="4"/>
      <c r="Z120" s="4" t="str">
        <f>+FormularioFODA!B126</f>
        <v>3 - Puertos, hidrovía y salida a ultramar. Se considera favorable si hay acceso eficiente a puertos fluviales y marítimos y a transporte multimodal para destinos de ultramar.</v>
      </c>
    </row>
    <row r="121" spans="1:26" x14ac:dyDescent="0.25">
      <c r="A121" s="4"/>
      <c r="B121" s="4"/>
      <c r="C121" s="4" t="s">
        <v>642</v>
      </c>
      <c r="D121" s="4">
        <v>4</v>
      </c>
      <c r="E121" s="4">
        <f>+IF(FormularioFODA!D127="x",1,0)</f>
        <v>1</v>
      </c>
      <c r="F121" s="4">
        <f>+IF(FormularioFODA!E127="x",1,0)</f>
        <v>0</v>
      </c>
      <c r="G121" s="4">
        <f>+IF(FormularioFODA!F127="x",1,0)</f>
        <v>0</v>
      </c>
      <c r="H121" s="4">
        <f>+IF(FormularioFODA!G127="x",1,0)</f>
        <v>0</v>
      </c>
      <c r="I121" s="4">
        <f>+IF(FormularioFODA!H127="x",1,0)</f>
        <v>0</v>
      </c>
      <c r="J121" s="4">
        <f t="shared" si="85"/>
        <v>1</v>
      </c>
      <c r="K121" s="4">
        <f>+IF(FormularioFODA!J127="x",1,0)*K$2</f>
        <v>0</v>
      </c>
      <c r="L121" s="4">
        <f>+IF(FormularioFODA!K127="x",1,0)*L$2</f>
        <v>2</v>
      </c>
      <c r="M121" s="4">
        <f>+IF(FormularioFODA!L127="x",1,0)*M$2</f>
        <v>0</v>
      </c>
      <c r="N121" s="4">
        <f>+IF(FormularioFODA!M127="x",1,0)*N$2</f>
        <v>0</v>
      </c>
      <c r="O121" s="4">
        <f t="shared" si="86"/>
        <v>2</v>
      </c>
      <c r="P121" s="34">
        <f t="shared" si="87"/>
        <v>9.0909090909090912E-2</v>
      </c>
      <c r="Q121" s="59">
        <f t="shared" si="88"/>
        <v>1.8181818181818184E-2</v>
      </c>
      <c r="R121" s="4"/>
      <c r="S121" s="4">
        <f t="shared" si="89"/>
        <v>0</v>
      </c>
      <c r="T121" s="4">
        <f t="shared" si="89"/>
        <v>0</v>
      </c>
      <c r="U121" s="4">
        <f t="shared" si="89"/>
        <v>0</v>
      </c>
      <c r="V121" s="4">
        <f t="shared" si="89"/>
        <v>0</v>
      </c>
      <c r="W121" s="4">
        <f t="shared" si="90"/>
        <v>0</v>
      </c>
      <c r="X121" s="59">
        <f t="shared" si="91"/>
        <v>0</v>
      </c>
      <c r="Y121" s="4"/>
      <c r="Z121" s="4" t="str">
        <f>+FormularioFODA!B127</f>
        <v>4 - Costo y disponibilidad de fletes. Se considera favorable si hay oferta de transportistas, contenedores y fletes a costos que no encarecen en exceso el producto.</v>
      </c>
    </row>
    <row r="122" spans="1:26" x14ac:dyDescent="0.25">
      <c r="A122" s="4"/>
      <c r="B122" s="4"/>
      <c r="C122" s="4" t="s">
        <v>646</v>
      </c>
      <c r="D122" s="4">
        <v>5</v>
      </c>
      <c r="E122" s="4">
        <f>+IF(FormularioFODA!D128="x",1,0)</f>
        <v>0</v>
      </c>
      <c r="F122" s="4">
        <f>+IF(FormularioFODA!E128="x",1,0)</f>
        <v>0</v>
      </c>
      <c r="G122" s="4">
        <f>+IF(FormularioFODA!F128="x",1,0)</f>
        <v>1</v>
      </c>
      <c r="H122" s="4">
        <f>+IF(FormularioFODA!G128="x",1,0)</f>
        <v>0</v>
      </c>
      <c r="I122" s="4">
        <f>+IF(FormularioFODA!H128="x",1,0)</f>
        <v>0</v>
      </c>
      <c r="J122" s="4">
        <f t="shared" si="85"/>
        <v>1</v>
      </c>
      <c r="K122" s="4">
        <f>+IF(FormularioFODA!J128="x",1,0)*K$2</f>
        <v>0</v>
      </c>
      <c r="L122" s="4">
        <f>+IF(FormularioFODA!K128="x",1,0)*L$2</f>
        <v>0</v>
      </c>
      <c r="M122" s="4">
        <f>+IF(FormularioFODA!L128="x",1,0)*M$2</f>
        <v>0</v>
      </c>
      <c r="N122" s="4">
        <f>+IF(FormularioFODA!M128="x",1,0)*N$2</f>
        <v>4</v>
      </c>
      <c r="O122" s="4">
        <f t="shared" si="86"/>
        <v>4</v>
      </c>
      <c r="P122" s="34">
        <f t="shared" si="87"/>
        <v>0.18181818181818182</v>
      </c>
      <c r="Q122" s="59">
        <f t="shared" si="88"/>
        <v>3.6363636363636369E-2</v>
      </c>
      <c r="R122" s="4"/>
      <c r="S122" s="4">
        <f t="shared" si="89"/>
        <v>0</v>
      </c>
      <c r="T122" s="4">
        <f t="shared" si="89"/>
        <v>-0.5</v>
      </c>
      <c r="U122" s="4">
        <f t="shared" si="89"/>
        <v>0</v>
      </c>
      <c r="V122" s="4">
        <f t="shared" si="89"/>
        <v>0</v>
      </c>
      <c r="W122" s="4">
        <f t="shared" si="90"/>
        <v>-0.5</v>
      </c>
      <c r="X122" s="59">
        <f t="shared" si="91"/>
        <v>-9.0909090909090912E-2</v>
      </c>
      <c r="Y122" s="4"/>
      <c r="Z122" s="4" t="str">
        <f>+FormularioFODA!B128</f>
        <v>5 - Servicios aduaneros locales. Se considera favorable si existen aduana, depósitos fiscales, zonas francas o terminales en la provincia que faciliten el despacho local.</v>
      </c>
    </row>
    <row r="123" spans="1:26" x14ac:dyDescent="0.25">
      <c r="A123" s="4"/>
      <c r="B123" s="4"/>
      <c r="C123" s="4" t="s">
        <v>650</v>
      </c>
      <c r="D123" s="4">
        <v>6</v>
      </c>
      <c r="E123" s="4">
        <f>+IF(FormularioFODA!D129="x",1,0)</f>
        <v>0</v>
      </c>
      <c r="F123" s="4">
        <f>+IF(FormularioFODA!E129="x",1,0)</f>
        <v>0</v>
      </c>
      <c r="G123" s="4">
        <f>+IF(FormularioFODA!F129="x",1,0)</f>
        <v>1</v>
      </c>
      <c r="H123" s="4">
        <f>+IF(FormularioFODA!G129="x",1,0)</f>
        <v>0</v>
      </c>
      <c r="I123" s="4">
        <f>+IF(FormularioFODA!H129="x",1,0)</f>
        <v>0</v>
      </c>
      <c r="J123" s="4">
        <f t="shared" si="85"/>
        <v>1</v>
      </c>
      <c r="K123" s="4">
        <f>+IF(FormularioFODA!J129="x",1,0)*K$2</f>
        <v>0</v>
      </c>
      <c r="L123" s="4">
        <f>+IF(FormularioFODA!K129="x",1,0)*L$2</f>
        <v>0</v>
      </c>
      <c r="M123" s="4">
        <f>+IF(FormularioFODA!L129="x",1,0)*M$2</f>
        <v>3</v>
      </c>
      <c r="N123" s="4">
        <f>+IF(FormularioFODA!M129="x",1,0)*N$2</f>
        <v>0</v>
      </c>
      <c r="O123" s="4">
        <f t="shared" si="86"/>
        <v>3</v>
      </c>
      <c r="P123" s="34">
        <f t="shared" si="87"/>
        <v>0.13636363636363635</v>
      </c>
      <c r="Q123" s="59">
        <f t="shared" si="88"/>
        <v>2.7272727272727271E-2</v>
      </c>
      <c r="R123" s="4"/>
      <c r="S123" s="4">
        <f t="shared" si="89"/>
        <v>0</v>
      </c>
      <c r="T123" s="4">
        <f t="shared" si="89"/>
        <v>-0.5</v>
      </c>
      <c r="U123" s="4">
        <f t="shared" si="89"/>
        <v>0</v>
      </c>
      <c r="V123" s="4">
        <f t="shared" si="89"/>
        <v>0</v>
      </c>
      <c r="W123" s="4">
        <f t="shared" si="90"/>
        <v>-0.5</v>
      </c>
      <c r="X123" s="59">
        <f t="shared" si="91"/>
        <v>-6.8181818181818177E-2</v>
      </c>
      <c r="Y123" s="4"/>
      <c r="Z123" s="4" t="str">
        <f>+FormularioFODA!B129</f>
        <v>6 - Prestadores logísticos regionales. Se considera favorable si hay despachantes, forwarders y operadores logísticos con capacidad y experiencia en la región.</v>
      </c>
    </row>
    <row r="124" spans="1:26" x14ac:dyDescent="0.25">
      <c r="A124" s="4"/>
      <c r="B124" s="4"/>
      <c r="C124" s="4" t="s">
        <v>654</v>
      </c>
      <c r="D124" s="4">
        <v>7</v>
      </c>
      <c r="E124" s="4">
        <f>+IF(FormularioFODA!D130="x",1,0)</f>
        <v>0</v>
      </c>
      <c r="F124" s="4">
        <f>+IF(FormularioFODA!E130="x",1,0)</f>
        <v>0</v>
      </c>
      <c r="G124" s="4">
        <f>+IF(FormularioFODA!F130="x",1,0)</f>
        <v>1</v>
      </c>
      <c r="H124" s="4">
        <f>+IF(FormularioFODA!G130="x",1,0)</f>
        <v>0</v>
      </c>
      <c r="I124" s="4">
        <f>+IF(FormularioFODA!H130="x",1,0)</f>
        <v>0</v>
      </c>
      <c r="J124" s="4">
        <f t="shared" si="85"/>
        <v>1</v>
      </c>
      <c r="K124" s="4">
        <f>+IF(FormularioFODA!J130="x",1,0)*K$2</f>
        <v>0</v>
      </c>
      <c r="L124" s="4">
        <f>+IF(FormularioFODA!K130="x",1,0)*L$2</f>
        <v>0</v>
      </c>
      <c r="M124" s="4">
        <f>+IF(FormularioFODA!L130="x",1,0)*M$2</f>
        <v>0</v>
      </c>
      <c r="N124" s="4">
        <f>+IF(FormularioFODA!M130="x",1,0)*N$2</f>
        <v>4</v>
      </c>
      <c r="O124" s="4">
        <f t="shared" si="86"/>
        <v>4</v>
      </c>
      <c r="P124" s="34">
        <f t="shared" si="87"/>
        <v>0.18181818181818182</v>
      </c>
      <c r="Q124" s="59">
        <f t="shared" si="88"/>
        <v>3.6363636363636369E-2</v>
      </c>
      <c r="R124" s="4"/>
      <c r="S124" s="4">
        <f t="shared" si="89"/>
        <v>0</v>
      </c>
      <c r="T124" s="4">
        <f t="shared" si="89"/>
        <v>-0.5</v>
      </c>
      <c r="U124" s="4">
        <f t="shared" si="89"/>
        <v>0</v>
      </c>
      <c r="V124" s="4">
        <f t="shared" si="89"/>
        <v>0</v>
      </c>
      <c r="W124" s="4">
        <f t="shared" si="90"/>
        <v>-0.5</v>
      </c>
      <c r="X124" s="59">
        <f t="shared" si="91"/>
        <v>-9.0909090909090912E-2</v>
      </c>
      <c r="Y124" s="4"/>
      <c r="Z124" s="4" t="str">
        <f>+FormularioFODA!B130</f>
        <v>7 - Energía y servicios públicos industriales. Se considera favorable si energía, gas, agua y telecomunicaciones son estables y de costo competitivo para la industria.</v>
      </c>
    </row>
    <row r="125" spans="1:26" x14ac:dyDescent="0.25">
      <c r="A125" s="4"/>
      <c r="B125" s="12" t="s">
        <v>829</v>
      </c>
      <c r="C125" s="4"/>
      <c r="D125" s="4"/>
      <c r="E125" s="12">
        <f t="shared" ref="E125:Q125" si="92">SUM(E118:E124)</f>
        <v>1</v>
      </c>
      <c r="F125" s="12">
        <f t="shared" si="92"/>
        <v>0</v>
      </c>
      <c r="G125" s="12">
        <f t="shared" si="92"/>
        <v>6</v>
      </c>
      <c r="H125" s="12">
        <f t="shared" si="92"/>
        <v>0</v>
      </c>
      <c r="I125" s="12">
        <f t="shared" si="92"/>
        <v>0</v>
      </c>
      <c r="J125" s="12">
        <f t="shared" si="92"/>
        <v>7</v>
      </c>
      <c r="K125" s="12">
        <f t="shared" si="92"/>
        <v>0</v>
      </c>
      <c r="L125" s="12">
        <f t="shared" si="92"/>
        <v>4</v>
      </c>
      <c r="M125" s="12">
        <f t="shared" si="92"/>
        <v>6</v>
      </c>
      <c r="N125" s="12">
        <f t="shared" si="92"/>
        <v>12</v>
      </c>
      <c r="O125" s="12">
        <f t="shared" si="92"/>
        <v>22</v>
      </c>
      <c r="P125" s="60">
        <f t="shared" si="92"/>
        <v>1</v>
      </c>
      <c r="Q125" s="61">
        <f t="shared" si="92"/>
        <v>0.20000000000000004</v>
      </c>
      <c r="R125" s="4"/>
      <c r="S125" s="4"/>
      <c r="T125" s="4"/>
      <c r="U125" s="4"/>
      <c r="V125" s="4"/>
      <c r="W125" s="4"/>
      <c r="X125" s="61">
        <f>SUM(X118:X124)</f>
        <v>-0.45454545454545447</v>
      </c>
      <c r="Y125" s="4"/>
      <c r="Z125" s="4"/>
    </row>
    <row r="126" spans="1:26" x14ac:dyDescent="0.25">
      <c r="A126" s="4"/>
      <c r="B126" s="4"/>
      <c r="C126" s="4"/>
      <c r="D126" s="4"/>
      <c r="E126" s="4"/>
      <c r="F126" s="4"/>
      <c r="G126" s="4"/>
      <c r="H126" s="4"/>
      <c r="I126" s="4"/>
      <c r="J126" s="4"/>
      <c r="K126" s="4"/>
      <c r="L126" s="4"/>
      <c r="M126" s="4"/>
      <c r="N126" s="4"/>
      <c r="O126" s="4"/>
      <c r="P126" s="34"/>
      <c r="Q126" s="59"/>
      <c r="R126" s="4"/>
      <c r="S126" s="4"/>
      <c r="T126" s="4"/>
      <c r="U126" s="4"/>
      <c r="V126" s="4"/>
      <c r="W126" s="4"/>
      <c r="X126" s="59"/>
      <c r="Y126" s="4"/>
      <c r="Z126" s="4"/>
    </row>
    <row r="127" spans="1:26" x14ac:dyDescent="0.25">
      <c r="A127" s="4"/>
      <c r="B127" s="4" t="str">
        <f>+FormularioFODA!B132</f>
        <v>Mercado y Competencia</v>
      </c>
      <c r="C127" s="4" t="s">
        <v>658</v>
      </c>
      <c r="D127" s="4">
        <v>1</v>
      </c>
      <c r="E127" s="4">
        <f>+IF(FormularioFODA!D133="x",1,0)</f>
        <v>1</v>
      </c>
      <c r="F127" s="4">
        <f>+IF(FormularioFODA!E133="x",1,0)</f>
        <v>0</v>
      </c>
      <c r="G127" s="4">
        <f>+IF(FormularioFODA!F133="x",1,0)</f>
        <v>0</v>
      </c>
      <c r="H127" s="4">
        <f>+IF(FormularioFODA!G133="x",1,0)</f>
        <v>0</v>
      </c>
      <c r="I127" s="4">
        <f>+IF(FormularioFODA!H133="x",1,0)</f>
        <v>0</v>
      </c>
      <c r="J127" s="4">
        <f t="shared" ref="J127:J132" si="93">SUM(E127:I127)</f>
        <v>1</v>
      </c>
      <c r="K127" s="4">
        <f>+IF(FormularioFODA!J133="x",1,0)*K$2</f>
        <v>0</v>
      </c>
      <c r="L127" s="4">
        <f>+IF(FormularioFODA!K133="x",1,0)*L$2</f>
        <v>2</v>
      </c>
      <c r="M127" s="4">
        <f>+IF(FormularioFODA!L133="x",1,0)*M$2</f>
        <v>0</v>
      </c>
      <c r="N127" s="4">
        <f>+IF(FormularioFODA!M133="x",1,0)*N$2</f>
        <v>0</v>
      </c>
      <c r="O127" s="4">
        <f t="shared" ref="O127:O132" si="94">SUM(K127:N127)</f>
        <v>2</v>
      </c>
      <c r="P127" s="34">
        <f t="shared" ref="P127:P132" si="95">IF($O$133=0,0,O127/$O$133)</f>
        <v>0.11764705882352941</v>
      </c>
      <c r="Q127" s="59">
        <f t="shared" ref="Q127:Q132" si="96">+(J127/$I$2)*P127</f>
        <v>2.3529411764705882E-2</v>
      </c>
      <c r="R127" s="4"/>
      <c r="S127" s="4">
        <f t="shared" ref="S127:V132" si="97">+F127*S$2</f>
        <v>0</v>
      </c>
      <c r="T127" s="4">
        <f t="shared" si="97"/>
        <v>0</v>
      </c>
      <c r="U127" s="4">
        <f t="shared" si="97"/>
        <v>0</v>
      </c>
      <c r="V127" s="4">
        <f t="shared" si="97"/>
        <v>0</v>
      </c>
      <c r="W127" s="4">
        <f t="shared" ref="W127:W132" si="98">SUM(S127:V127)</f>
        <v>0</v>
      </c>
      <c r="X127" s="59">
        <f t="shared" ref="X127:X132" si="99">+W127*P127</f>
        <v>0</v>
      </c>
      <c r="Y127" s="4"/>
      <c r="Z127" s="4" t="str">
        <f>+FormularioFODA!B133</f>
        <v>1 - Barreras de entrada al mercado destino. Se considera favorable si las barreras de entrada al destino (regulatorias, de distribución, de marca) son superables para una pyme con políticas claras y responsabilidades establecidas.</v>
      </c>
    </row>
    <row r="128" spans="1:26" x14ac:dyDescent="0.25">
      <c r="A128" s="4"/>
      <c r="B128" s="4"/>
      <c r="C128" s="4" t="s">
        <v>663</v>
      </c>
      <c r="D128" s="4">
        <v>2</v>
      </c>
      <c r="E128" s="4">
        <f>+IF(FormularioFODA!D134="x",1,0)</f>
        <v>0</v>
      </c>
      <c r="F128" s="4">
        <f>+IF(FormularioFODA!E134="x",1,0)</f>
        <v>0</v>
      </c>
      <c r="G128" s="4">
        <f>+IF(FormularioFODA!F134="x",1,0)</f>
        <v>1</v>
      </c>
      <c r="H128" s="4">
        <f>+IF(FormularioFODA!G134="x",1,0)</f>
        <v>0</v>
      </c>
      <c r="I128" s="4">
        <f>+IF(FormularioFODA!H134="x",1,0)</f>
        <v>0</v>
      </c>
      <c r="J128" s="4">
        <f t="shared" si="93"/>
        <v>1</v>
      </c>
      <c r="K128" s="4">
        <f>+IF(FormularioFODA!J134="x",1,0)*K$2</f>
        <v>0</v>
      </c>
      <c r="L128" s="4">
        <f>+IF(FormularioFODA!K134="x",1,0)*L$2</f>
        <v>0</v>
      </c>
      <c r="M128" s="4">
        <f>+IF(FormularioFODA!L134="x",1,0)*M$2</f>
        <v>0</v>
      </c>
      <c r="N128" s="4">
        <f>+IF(FormularioFODA!M134="x",1,0)*N$2</f>
        <v>4</v>
      </c>
      <c r="O128" s="4">
        <f t="shared" si="94"/>
        <v>4</v>
      </c>
      <c r="P128" s="34">
        <f t="shared" si="95"/>
        <v>0.23529411764705882</v>
      </c>
      <c r="Q128" s="59">
        <f t="shared" si="96"/>
        <v>4.7058823529411764E-2</v>
      </c>
      <c r="R128" s="4"/>
      <c r="S128" s="4">
        <f t="shared" si="97"/>
        <v>0</v>
      </c>
      <c r="T128" s="4">
        <f t="shared" si="97"/>
        <v>-0.5</v>
      </c>
      <c r="U128" s="4">
        <f t="shared" si="97"/>
        <v>0</v>
      </c>
      <c r="V128" s="4">
        <f t="shared" si="97"/>
        <v>0</v>
      </c>
      <c r="W128" s="4">
        <f t="shared" si="98"/>
        <v>-0.5</v>
      </c>
      <c r="X128" s="59">
        <f t="shared" si="99"/>
        <v>-0.11764705882352941</v>
      </c>
      <c r="Y128" s="4"/>
      <c r="Z128" s="4" t="str">
        <f>+FormularioFODA!B134</f>
        <v>2 - Costos de cambio de los clientes externos. Se considera favorable si a los compradores les cuesta cambiar de proveedor una vez establecida la relación (calidad, servicio, contrato).</v>
      </c>
    </row>
    <row r="129" spans="1:26" x14ac:dyDescent="0.25">
      <c r="A129" s="4"/>
      <c r="B129" s="4"/>
      <c r="C129" s="4" t="s">
        <v>667</v>
      </c>
      <c r="D129" s="4">
        <v>3</v>
      </c>
      <c r="E129" s="4">
        <f>+IF(FormularioFODA!D135="x",1,0)</f>
        <v>0</v>
      </c>
      <c r="F129" s="4">
        <f>+IF(FormularioFODA!E135="x",1,0)</f>
        <v>0</v>
      </c>
      <c r="G129" s="4">
        <f>+IF(FormularioFODA!F135="x",1,0)</f>
        <v>1</v>
      </c>
      <c r="H129" s="4">
        <f>+IF(FormularioFODA!G135="x",1,0)</f>
        <v>0</v>
      </c>
      <c r="I129" s="4">
        <f>+IF(FormularioFODA!H135="x",1,0)</f>
        <v>0</v>
      </c>
      <c r="J129" s="4">
        <f t="shared" si="93"/>
        <v>1</v>
      </c>
      <c r="K129" s="4">
        <f>+IF(FormularioFODA!J135="x",1,0)*K$2</f>
        <v>0</v>
      </c>
      <c r="L129" s="4">
        <f>+IF(FormularioFODA!K135="x",1,0)*L$2</f>
        <v>0</v>
      </c>
      <c r="M129" s="4">
        <f>+IF(FormularioFODA!L135="x",1,0)*M$2</f>
        <v>3</v>
      </c>
      <c r="N129" s="4">
        <f>+IF(FormularioFODA!M135="x",1,0)*N$2</f>
        <v>0</v>
      </c>
      <c r="O129" s="4">
        <f t="shared" si="94"/>
        <v>3</v>
      </c>
      <c r="P129" s="34">
        <f t="shared" si="95"/>
        <v>0.17647058823529413</v>
      </c>
      <c r="Q129" s="59">
        <f t="shared" si="96"/>
        <v>3.529411764705883E-2</v>
      </c>
      <c r="R129" s="4"/>
      <c r="S129" s="4">
        <f t="shared" si="97"/>
        <v>0</v>
      </c>
      <c r="T129" s="4">
        <f t="shared" si="97"/>
        <v>-0.5</v>
      </c>
      <c r="U129" s="4">
        <f t="shared" si="97"/>
        <v>0</v>
      </c>
      <c r="V129" s="4">
        <f t="shared" si="97"/>
        <v>0</v>
      </c>
      <c r="W129" s="4">
        <f t="shared" si="98"/>
        <v>-0.5</v>
      </c>
      <c r="X129" s="59">
        <f t="shared" si="99"/>
        <v>-8.8235294117647065E-2</v>
      </c>
      <c r="Y129" s="4"/>
      <c r="Z129" s="4" t="str">
        <f>+FormularioFODA!B135</f>
        <v>3 - Tamaño y crecimiento del mercado destino. Se considera favorable si el mercado destino no está saturado, es de tamaño relevante y hay posibilidades de incorporar nuevos productos.</v>
      </c>
    </row>
    <row r="130" spans="1:26" x14ac:dyDescent="0.25">
      <c r="A130" s="4"/>
      <c r="B130" s="4"/>
      <c r="C130" s="4" t="s">
        <v>671</v>
      </c>
      <c r="D130" s="4">
        <v>4</v>
      </c>
      <c r="E130" s="4">
        <f>+IF(FormularioFODA!D136="x",1,0)</f>
        <v>0</v>
      </c>
      <c r="F130" s="4">
        <f>+IF(FormularioFODA!E136="x",1,0)</f>
        <v>0</v>
      </c>
      <c r="G130" s="4">
        <f>+IF(FormularioFODA!F136="x",1,0)</f>
        <v>0</v>
      </c>
      <c r="H130" s="4">
        <f>+IF(FormularioFODA!G136="x",1,0)</f>
        <v>1</v>
      </c>
      <c r="I130" s="4">
        <f>+IF(FormularioFODA!H136="x",1,0)</f>
        <v>0</v>
      </c>
      <c r="J130" s="4">
        <f t="shared" si="93"/>
        <v>1</v>
      </c>
      <c r="K130" s="4">
        <f>+IF(FormularioFODA!J136="x",1,0)*K$2</f>
        <v>0</v>
      </c>
      <c r="L130" s="4">
        <f>+IF(FormularioFODA!K136="x",1,0)*L$2</f>
        <v>2</v>
      </c>
      <c r="M130" s="4">
        <f>+IF(FormularioFODA!L136="x",1,0)*M$2</f>
        <v>0</v>
      </c>
      <c r="N130" s="4">
        <f>+IF(FormularioFODA!M136="x",1,0)*N$2</f>
        <v>0</v>
      </c>
      <c r="O130" s="4">
        <f t="shared" si="94"/>
        <v>2</v>
      </c>
      <c r="P130" s="34">
        <f t="shared" si="95"/>
        <v>0.11764705882352941</v>
      </c>
      <c r="Q130" s="59">
        <f t="shared" si="96"/>
        <v>2.3529411764705882E-2</v>
      </c>
      <c r="R130" s="4"/>
      <c r="S130" s="4">
        <f t="shared" si="97"/>
        <v>0</v>
      </c>
      <c r="T130" s="4">
        <f t="shared" si="97"/>
        <v>0</v>
      </c>
      <c r="U130" s="4">
        <f t="shared" si="97"/>
        <v>0.5</v>
      </c>
      <c r="V130" s="4">
        <f t="shared" si="97"/>
        <v>0</v>
      </c>
      <c r="W130" s="4">
        <f t="shared" si="98"/>
        <v>0.5</v>
      </c>
      <c r="X130" s="59">
        <f t="shared" si="99"/>
        <v>5.8823529411764705E-2</v>
      </c>
      <c r="Y130" s="4"/>
      <c r="Z130" s="4" t="str">
        <f>+FormularioFODA!B136</f>
        <v>4 - Poder negociador de compradores e importadores. Se considera favorable si los compradores están distribuidos y ninguno tiene poder para imponer precio y condiciones; existe cultura de ganar-ganar.</v>
      </c>
    </row>
    <row r="131" spans="1:26" x14ac:dyDescent="0.25">
      <c r="A131" s="4"/>
      <c r="B131" s="4"/>
      <c r="C131" s="4" t="s">
        <v>675</v>
      </c>
      <c r="D131" s="4">
        <v>5</v>
      </c>
      <c r="E131" s="4">
        <f>+IF(FormularioFODA!D137="x",1,0)</f>
        <v>0</v>
      </c>
      <c r="F131" s="4">
        <f>+IF(FormularioFODA!E137="x",1,0)</f>
        <v>0</v>
      </c>
      <c r="G131" s="4">
        <f>+IF(FormularioFODA!F137="x",1,0)</f>
        <v>1</v>
      </c>
      <c r="H131" s="4">
        <f>+IF(FormularioFODA!G137="x",1,0)</f>
        <v>0</v>
      </c>
      <c r="I131" s="4">
        <f>+IF(FormularioFODA!H137="x",1,0)</f>
        <v>0</v>
      </c>
      <c r="J131" s="4">
        <f t="shared" si="93"/>
        <v>1</v>
      </c>
      <c r="K131" s="4">
        <f>+IF(FormularioFODA!J137="x",1,0)*K$2</f>
        <v>0</v>
      </c>
      <c r="L131" s="4">
        <f>+IF(FormularioFODA!K137="x",1,0)*L$2</f>
        <v>0</v>
      </c>
      <c r="M131" s="4">
        <f>+IF(FormularioFODA!L137="x",1,0)*M$2</f>
        <v>3</v>
      </c>
      <c r="N131" s="4">
        <f>+IF(FormularioFODA!M137="x",1,0)*N$2</f>
        <v>0</v>
      </c>
      <c r="O131" s="4">
        <f t="shared" si="94"/>
        <v>3</v>
      </c>
      <c r="P131" s="34">
        <f t="shared" si="95"/>
        <v>0.17647058823529413</v>
      </c>
      <c r="Q131" s="59">
        <f t="shared" si="96"/>
        <v>3.529411764705883E-2</v>
      </c>
      <c r="R131" s="4"/>
      <c r="S131" s="4">
        <f t="shared" si="97"/>
        <v>0</v>
      </c>
      <c r="T131" s="4">
        <f t="shared" si="97"/>
        <v>-0.5</v>
      </c>
      <c r="U131" s="4">
        <f t="shared" si="97"/>
        <v>0</v>
      </c>
      <c r="V131" s="4">
        <f t="shared" si="97"/>
        <v>0</v>
      </c>
      <c r="W131" s="4">
        <f t="shared" si="98"/>
        <v>-0.5</v>
      </c>
      <c r="X131" s="59">
        <f t="shared" si="99"/>
        <v>-8.8235294117647065E-2</v>
      </c>
      <c r="Y131" s="4"/>
      <c r="Z131" s="4" t="str">
        <f>+FormularioFODA!B137</f>
        <v>5 - Rivalidad y competidores internacionales. Se considera favorable si la intensidad competitiva permite un espacio para nuevos oferentes y la empresa puede diferenciarse.</v>
      </c>
    </row>
    <row r="132" spans="1:26" x14ac:dyDescent="0.25">
      <c r="A132" s="4"/>
      <c r="B132" s="4"/>
      <c r="C132" s="4" t="s">
        <v>679</v>
      </c>
      <c r="D132" s="4">
        <v>6</v>
      </c>
      <c r="E132" s="4">
        <f>+IF(FormularioFODA!D138="x",1,0)</f>
        <v>0</v>
      </c>
      <c r="F132" s="4">
        <f>+IF(FormularioFODA!E138="x",1,0)</f>
        <v>0</v>
      </c>
      <c r="G132" s="4">
        <f>+IF(FormularioFODA!F138="x",1,0)</f>
        <v>0</v>
      </c>
      <c r="H132" s="4">
        <f>+IF(FormularioFODA!G138="x",1,0)</f>
        <v>1</v>
      </c>
      <c r="I132" s="4">
        <f>+IF(FormularioFODA!H138="x",1,0)</f>
        <v>0</v>
      </c>
      <c r="J132" s="4">
        <f t="shared" si="93"/>
        <v>1</v>
      </c>
      <c r="K132" s="4">
        <f>+IF(FormularioFODA!J138="x",1,0)*K$2</f>
        <v>0</v>
      </c>
      <c r="L132" s="4">
        <f>+IF(FormularioFODA!K138="x",1,0)*L$2</f>
        <v>0</v>
      </c>
      <c r="M132" s="4">
        <f>+IF(FormularioFODA!L138="x",1,0)*M$2</f>
        <v>3</v>
      </c>
      <c r="N132" s="4">
        <f>+IF(FormularioFODA!M138="x",1,0)*N$2</f>
        <v>0</v>
      </c>
      <c r="O132" s="4">
        <f t="shared" si="94"/>
        <v>3</v>
      </c>
      <c r="P132" s="34">
        <f t="shared" si="95"/>
        <v>0.17647058823529413</v>
      </c>
      <c r="Q132" s="59">
        <f t="shared" si="96"/>
        <v>3.529411764705883E-2</v>
      </c>
      <c r="R132" s="4"/>
      <c r="S132" s="4">
        <f t="shared" si="97"/>
        <v>0</v>
      </c>
      <c r="T132" s="4">
        <f t="shared" si="97"/>
        <v>0</v>
      </c>
      <c r="U132" s="4">
        <f t="shared" si="97"/>
        <v>0.5</v>
      </c>
      <c r="V132" s="4">
        <f t="shared" si="97"/>
        <v>0</v>
      </c>
      <c r="W132" s="4">
        <f t="shared" si="98"/>
        <v>0.5</v>
      </c>
      <c r="X132" s="59">
        <f t="shared" si="99"/>
        <v>8.8235294117647065E-2</v>
      </c>
      <c r="Y132" s="4"/>
      <c r="Z132" s="4" t="str">
        <f>+FormularioFODA!B138</f>
        <v>6 - Cambios del mercado e inteligencia comercial. Se considera favorable si los cambios del mercado no están ocultos y pueden ser comunicados y medidos con fuentes accesibles.</v>
      </c>
    </row>
    <row r="133" spans="1:26" x14ac:dyDescent="0.25">
      <c r="A133" s="4"/>
      <c r="B133" s="12" t="s">
        <v>830</v>
      </c>
      <c r="C133" s="4"/>
      <c r="D133" s="4"/>
      <c r="E133" s="12">
        <f t="shared" ref="E133:Q133" si="100">SUM(E127:E132)</f>
        <v>1</v>
      </c>
      <c r="F133" s="12">
        <f t="shared" si="100"/>
        <v>0</v>
      </c>
      <c r="G133" s="12">
        <f t="shared" si="100"/>
        <v>3</v>
      </c>
      <c r="H133" s="12">
        <f t="shared" si="100"/>
        <v>2</v>
      </c>
      <c r="I133" s="12">
        <f t="shared" si="100"/>
        <v>0</v>
      </c>
      <c r="J133" s="12">
        <f t="shared" si="100"/>
        <v>6</v>
      </c>
      <c r="K133" s="12">
        <f t="shared" si="100"/>
        <v>0</v>
      </c>
      <c r="L133" s="12">
        <f t="shared" si="100"/>
        <v>4</v>
      </c>
      <c r="M133" s="12">
        <f t="shared" si="100"/>
        <v>9</v>
      </c>
      <c r="N133" s="12">
        <f t="shared" si="100"/>
        <v>4</v>
      </c>
      <c r="O133" s="12">
        <f t="shared" si="100"/>
        <v>17</v>
      </c>
      <c r="P133" s="60">
        <f t="shared" si="100"/>
        <v>1</v>
      </c>
      <c r="Q133" s="61">
        <f t="shared" si="100"/>
        <v>0.20000000000000004</v>
      </c>
      <c r="R133" s="4"/>
      <c r="S133" s="4"/>
      <c r="T133" s="4"/>
      <c r="U133" s="4"/>
      <c r="V133" s="4"/>
      <c r="W133" s="4"/>
      <c r="X133" s="61">
        <f>SUM(X127:X132)</f>
        <v>-0.14705882352941174</v>
      </c>
      <c r="Y133" s="4"/>
      <c r="Z133" s="4"/>
    </row>
    <row r="134" spans="1:26" x14ac:dyDescent="0.25">
      <c r="A134" s="4"/>
      <c r="B134" s="4"/>
      <c r="C134" s="4"/>
      <c r="D134" s="4"/>
      <c r="E134" s="4"/>
      <c r="F134" s="4"/>
      <c r="G134" s="4"/>
      <c r="H134" s="4"/>
      <c r="I134" s="4"/>
      <c r="J134" s="4"/>
      <c r="K134" s="4"/>
      <c r="L134" s="4"/>
      <c r="M134" s="4"/>
      <c r="N134" s="4"/>
      <c r="O134" s="4"/>
      <c r="P134" s="34"/>
      <c r="Q134" s="59"/>
      <c r="R134" s="4"/>
      <c r="S134" s="4"/>
      <c r="T134" s="4"/>
      <c r="U134" s="4"/>
      <c r="V134" s="4"/>
      <c r="W134" s="4"/>
      <c r="X134" s="59"/>
      <c r="Y134" s="4"/>
      <c r="Z134" s="4"/>
    </row>
    <row r="135" spans="1:26" x14ac:dyDescent="0.25">
      <c r="A135" s="4"/>
      <c r="B135" s="4" t="str">
        <f>+FormularioFODA!B140</f>
        <v>Proveedores</v>
      </c>
      <c r="C135" s="4" t="s">
        <v>683</v>
      </c>
      <c r="D135" s="4">
        <v>1</v>
      </c>
      <c r="E135" s="4">
        <f>+IF(FormularioFODA!D141="x",1,0)</f>
        <v>0</v>
      </c>
      <c r="F135" s="4">
        <f>+IF(FormularioFODA!E141="x",1,0)</f>
        <v>0</v>
      </c>
      <c r="G135" s="4">
        <f>+IF(FormularioFODA!F141="x",1,0)</f>
        <v>0</v>
      </c>
      <c r="H135" s="4">
        <f>+IF(FormularioFODA!G141="x",1,0)</f>
        <v>1</v>
      </c>
      <c r="I135" s="4">
        <f>+IF(FormularioFODA!H141="x",1,0)</f>
        <v>0</v>
      </c>
      <c r="J135" s="4">
        <f>SUM(E135:I135)</f>
        <v>1</v>
      </c>
      <c r="K135" s="4">
        <f>+IF(FormularioFODA!J141="x",1,0)*K$2</f>
        <v>0</v>
      </c>
      <c r="L135" s="4">
        <f>+IF(FormularioFODA!K141="x",1,0)*L$2</f>
        <v>0</v>
      </c>
      <c r="M135" s="4">
        <f>+IF(FormularioFODA!L141="x",1,0)*M$2</f>
        <v>3</v>
      </c>
      <c r="N135" s="4">
        <f>+IF(FormularioFODA!M141="x",1,0)*N$2</f>
        <v>0</v>
      </c>
      <c r="O135" s="4">
        <f>SUM(K135:N135)</f>
        <v>3</v>
      </c>
      <c r="P135" s="34">
        <f>IF($O$139=0,0,O135/$O$139)</f>
        <v>0.21428571428571427</v>
      </c>
      <c r="Q135" s="59">
        <f>+(J135/$I$2)*P135</f>
        <v>4.2857142857142858E-2</v>
      </c>
      <c r="R135" s="4"/>
      <c r="S135" s="4">
        <f t="shared" ref="S135:V138" si="101">+F135*S$2</f>
        <v>0</v>
      </c>
      <c r="T135" s="4">
        <f t="shared" si="101"/>
        <v>0</v>
      </c>
      <c r="U135" s="4">
        <f t="shared" si="101"/>
        <v>0.5</v>
      </c>
      <c r="V135" s="4">
        <f t="shared" si="101"/>
        <v>0</v>
      </c>
      <c r="W135" s="4">
        <f>SUM(S135:V135)</f>
        <v>0.5</v>
      </c>
      <c r="X135" s="59">
        <f>+W135*P135</f>
        <v>0.10714285714285714</v>
      </c>
      <c r="Y135" s="4"/>
      <c r="Z135" s="4" t="str">
        <f>+FormularioFODA!B141</f>
        <v>1 - Cantidad de proveedores. Se considera favorable si la cantidad de proveedores locales y regionales permite negociar precios y condiciones.</v>
      </c>
    </row>
    <row r="136" spans="1:26" x14ac:dyDescent="0.25">
      <c r="A136" s="4"/>
      <c r="B136" s="4"/>
      <c r="C136" s="4" t="s">
        <v>688</v>
      </c>
      <c r="D136" s="4">
        <v>2</v>
      </c>
      <c r="E136" s="4">
        <f>+IF(FormularioFODA!D142="x",1,0)</f>
        <v>0</v>
      </c>
      <c r="F136" s="4">
        <f>+IF(FormularioFODA!E142="x",1,0)</f>
        <v>0</v>
      </c>
      <c r="G136" s="4">
        <f>+IF(FormularioFODA!F142="x",1,0)</f>
        <v>1</v>
      </c>
      <c r="H136" s="4">
        <f>+IF(FormularioFODA!G142="x",1,0)</f>
        <v>0</v>
      </c>
      <c r="I136" s="4">
        <f>+IF(FormularioFODA!H142="x",1,0)</f>
        <v>0</v>
      </c>
      <c r="J136" s="4">
        <f>SUM(E136:I136)</f>
        <v>1</v>
      </c>
      <c r="K136" s="4">
        <f>+IF(FormularioFODA!J142="x",1,0)*K$2</f>
        <v>0</v>
      </c>
      <c r="L136" s="4">
        <f>+IF(FormularioFODA!K142="x",1,0)*L$2</f>
        <v>0</v>
      </c>
      <c r="M136" s="4">
        <f>+IF(FormularioFODA!L142="x",1,0)*M$2</f>
        <v>3</v>
      </c>
      <c r="N136" s="4">
        <f>+IF(FormularioFODA!M142="x",1,0)*N$2</f>
        <v>0</v>
      </c>
      <c r="O136" s="4">
        <f>SUM(K136:N136)</f>
        <v>3</v>
      </c>
      <c r="P136" s="34">
        <f>IF($O$139=0,0,O136/$O$139)</f>
        <v>0.21428571428571427</v>
      </c>
      <c r="Q136" s="59">
        <f>+(J136/$I$2)*P136</f>
        <v>4.2857142857142858E-2</v>
      </c>
      <c r="R136" s="4"/>
      <c r="S136" s="4">
        <f t="shared" si="101"/>
        <v>0</v>
      </c>
      <c r="T136" s="4">
        <f t="shared" si="101"/>
        <v>-0.5</v>
      </c>
      <c r="U136" s="4">
        <f t="shared" si="101"/>
        <v>0</v>
      </c>
      <c r="V136" s="4">
        <f t="shared" si="101"/>
        <v>0</v>
      </c>
      <c r="W136" s="4">
        <f>SUM(S136:V136)</f>
        <v>-0.5</v>
      </c>
      <c r="X136" s="59">
        <f>+W136*P136</f>
        <v>-0.10714285714285714</v>
      </c>
      <c r="Y136" s="4"/>
      <c r="Z136" s="4" t="str">
        <f>+FormularioFODA!B142</f>
        <v>2 - Calidad y cumplimiento de proveedores. Se considera favorable si los proveedores cumplen calidad, plazos y certificaciones necesarias para el producto exportable.</v>
      </c>
    </row>
    <row r="137" spans="1:26" x14ac:dyDescent="0.25">
      <c r="A137" s="4"/>
      <c r="B137" s="4"/>
      <c r="C137" s="4" t="s">
        <v>692</v>
      </c>
      <c r="D137" s="4">
        <v>3</v>
      </c>
      <c r="E137" s="4">
        <f>+IF(FormularioFODA!D143="x",1,0)</f>
        <v>0</v>
      </c>
      <c r="F137" s="4">
        <f>+IF(FormularioFODA!E143="x",1,0)</f>
        <v>0</v>
      </c>
      <c r="G137" s="4">
        <f>+IF(FormularioFODA!F143="x",1,0)</f>
        <v>1</v>
      </c>
      <c r="H137" s="4">
        <f>+IF(FormularioFODA!G143="x",1,0)</f>
        <v>0</v>
      </c>
      <c r="I137" s="4">
        <f>+IF(FormularioFODA!H143="x",1,0)</f>
        <v>0</v>
      </c>
      <c r="J137" s="4">
        <f>SUM(E137:I137)</f>
        <v>1</v>
      </c>
      <c r="K137" s="4">
        <f>+IF(FormularioFODA!J143="x",1,0)*K$2</f>
        <v>0</v>
      </c>
      <c r="L137" s="4">
        <f>+IF(FormularioFODA!K143="x",1,0)*L$2</f>
        <v>0</v>
      </c>
      <c r="M137" s="4">
        <f>+IF(FormularioFODA!L143="x",1,0)*M$2</f>
        <v>0</v>
      </c>
      <c r="N137" s="4">
        <f>+IF(FormularioFODA!M143="x",1,0)*N$2</f>
        <v>4</v>
      </c>
      <c r="O137" s="4">
        <f>SUM(K137:N137)</f>
        <v>4</v>
      </c>
      <c r="P137" s="34">
        <f>IF($O$139=0,0,O137/$O$139)</f>
        <v>0.2857142857142857</v>
      </c>
      <c r="Q137" s="59">
        <f>+(J137/$I$2)*P137</f>
        <v>5.7142857142857141E-2</v>
      </c>
      <c r="R137" s="4"/>
      <c r="S137" s="4">
        <f t="shared" si="101"/>
        <v>0</v>
      </c>
      <c r="T137" s="4">
        <f t="shared" si="101"/>
        <v>-0.5</v>
      </c>
      <c r="U137" s="4">
        <f t="shared" si="101"/>
        <v>0</v>
      </c>
      <c r="V137" s="4">
        <f t="shared" si="101"/>
        <v>0</v>
      </c>
      <c r="W137" s="4">
        <f>SUM(S137:V137)</f>
        <v>-0.5</v>
      </c>
      <c r="X137" s="59">
        <f>+W137*P137</f>
        <v>-0.14285714285714285</v>
      </c>
      <c r="Y137" s="4"/>
      <c r="Z137" s="4" t="str">
        <f>+FormularioFODA!B143</f>
        <v>3 - Poder negociador de los proveedores. Se considera favorable si ningún proveedor es único ni concentra más del 40% de las compras.</v>
      </c>
    </row>
    <row r="138" spans="1:26" x14ac:dyDescent="0.25">
      <c r="A138" s="4"/>
      <c r="B138" s="4"/>
      <c r="C138" s="4" t="s">
        <v>696</v>
      </c>
      <c r="D138" s="4">
        <v>4</v>
      </c>
      <c r="E138" s="4">
        <f>+IF(FormularioFODA!D144="x",1,0)</f>
        <v>0</v>
      </c>
      <c r="F138" s="4">
        <f>+IF(FormularioFODA!E144="x",1,0)</f>
        <v>0</v>
      </c>
      <c r="G138" s="4">
        <f>+IF(FormularioFODA!F144="x",1,0)</f>
        <v>0</v>
      </c>
      <c r="H138" s="4">
        <f>+IF(FormularioFODA!G144="x",1,0)</f>
        <v>1</v>
      </c>
      <c r="I138" s="4">
        <f>+IF(FormularioFODA!H144="x",1,0)</f>
        <v>0</v>
      </c>
      <c r="J138" s="4">
        <f>SUM(E138:I138)</f>
        <v>1</v>
      </c>
      <c r="K138" s="4">
        <f>+IF(FormularioFODA!J144="x",1,0)*K$2</f>
        <v>0</v>
      </c>
      <c r="L138" s="4">
        <f>+IF(FormularioFODA!K144="x",1,0)*L$2</f>
        <v>0</v>
      </c>
      <c r="M138" s="4">
        <f>+IF(FormularioFODA!L144="x",1,0)*M$2</f>
        <v>0</v>
      </c>
      <c r="N138" s="4">
        <f>+IF(FormularioFODA!M144="x",1,0)*N$2</f>
        <v>4</v>
      </c>
      <c r="O138" s="4">
        <f>SUM(K138:N138)</f>
        <v>4</v>
      </c>
      <c r="P138" s="34">
        <f>IF($O$139=0,0,O138/$O$139)</f>
        <v>0.2857142857142857</v>
      </c>
      <c r="Q138" s="59">
        <f>+(J138/$I$2)*P138</f>
        <v>5.7142857142857141E-2</v>
      </c>
      <c r="R138" s="4"/>
      <c r="S138" s="4">
        <f t="shared" si="101"/>
        <v>0</v>
      </c>
      <c r="T138" s="4">
        <f t="shared" si="101"/>
        <v>0</v>
      </c>
      <c r="U138" s="4">
        <f t="shared" si="101"/>
        <v>0.5</v>
      </c>
      <c r="V138" s="4">
        <f t="shared" si="101"/>
        <v>0</v>
      </c>
      <c r="W138" s="4">
        <f>SUM(S138:V138)</f>
        <v>0.5</v>
      </c>
      <c r="X138" s="59">
        <f>+W138*P138</f>
        <v>0.14285714285714285</v>
      </c>
      <c r="Y138" s="4"/>
      <c r="Z138" s="4" t="str">
        <f>+FormularioFODA!B144</f>
        <v>4 - Disponibilidad y estacionalidad de materia prima. Se considera favorable si la materia prima regional (madera, hoja verde, cítricos, etc.) está disponible en volumen y calidad durante todo el año.</v>
      </c>
    </row>
    <row r="139" spans="1:26" x14ac:dyDescent="0.25">
      <c r="A139" s="4"/>
      <c r="B139" s="12" t="s">
        <v>831</v>
      </c>
      <c r="C139" s="4"/>
      <c r="D139" s="4"/>
      <c r="E139" s="12">
        <f t="shared" ref="E139:Q139" si="102">SUM(E135:E138)</f>
        <v>0</v>
      </c>
      <c r="F139" s="12">
        <f t="shared" si="102"/>
        <v>0</v>
      </c>
      <c r="G139" s="12">
        <f t="shared" si="102"/>
        <v>2</v>
      </c>
      <c r="H139" s="12">
        <f t="shared" si="102"/>
        <v>2</v>
      </c>
      <c r="I139" s="12">
        <f t="shared" si="102"/>
        <v>0</v>
      </c>
      <c r="J139" s="12">
        <f t="shared" si="102"/>
        <v>4</v>
      </c>
      <c r="K139" s="12">
        <f t="shared" si="102"/>
        <v>0</v>
      </c>
      <c r="L139" s="12">
        <f t="shared" si="102"/>
        <v>0</v>
      </c>
      <c r="M139" s="12">
        <f t="shared" si="102"/>
        <v>6</v>
      </c>
      <c r="N139" s="12">
        <f t="shared" si="102"/>
        <v>8</v>
      </c>
      <c r="O139" s="12">
        <f t="shared" si="102"/>
        <v>14</v>
      </c>
      <c r="P139" s="60">
        <f t="shared" si="102"/>
        <v>0.99999999999999989</v>
      </c>
      <c r="Q139" s="61">
        <f t="shared" si="102"/>
        <v>0.19999999999999998</v>
      </c>
      <c r="R139" s="4"/>
      <c r="S139" s="4"/>
      <c r="T139" s="4"/>
      <c r="U139" s="4"/>
      <c r="V139" s="4"/>
      <c r="W139" s="4"/>
      <c r="X139" s="61">
        <f>SUM(X135:X138)</f>
        <v>0</v>
      </c>
      <c r="Y139" s="4"/>
      <c r="Z139" s="4"/>
    </row>
    <row r="140" spans="1:26" x14ac:dyDescent="0.25">
      <c r="A140" s="4"/>
      <c r="B140" s="4"/>
      <c r="C140" s="4"/>
      <c r="D140" s="4"/>
      <c r="E140" s="4"/>
      <c r="F140" s="4"/>
      <c r="G140" s="4"/>
      <c r="H140" s="4"/>
      <c r="I140" s="4"/>
      <c r="J140" s="4"/>
      <c r="K140" s="4"/>
      <c r="L140" s="4"/>
      <c r="M140" s="4"/>
      <c r="N140" s="4"/>
      <c r="O140" s="4"/>
      <c r="P140" s="34"/>
      <c r="Q140" s="59"/>
      <c r="R140" s="4"/>
      <c r="S140" s="4"/>
      <c r="T140" s="4"/>
      <c r="U140" s="4"/>
      <c r="V140" s="4"/>
      <c r="W140" s="4"/>
      <c r="X140" s="59"/>
      <c r="Y140" s="4"/>
      <c r="Z140" s="4"/>
    </row>
    <row r="141" spans="1:26" x14ac:dyDescent="0.25">
      <c r="A141" s="4"/>
      <c r="B141" s="4" t="str">
        <f>+FormularioFODA!B146</f>
        <v>Sustitutos de los Productos Ofrecidos</v>
      </c>
      <c r="C141" s="4" t="s">
        <v>700</v>
      </c>
      <c r="D141" s="4">
        <v>1</v>
      </c>
      <c r="E141" s="4">
        <f>+IF(FormularioFODA!D147="x",1,0)</f>
        <v>0</v>
      </c>
      <c r="F141" s="4">
        <f>+IF(FormularioFODA!E147="x",1,0)</f>
        <v>0</v>
      </c>
      <c r="G141" s="4">
        <f>+IF(FormularioFODA!F147="x",1,0)</f>
        <v>0</v>
      </c>
      <c r="H141" s="4">
        <f>+IF(FormularioFODA!G147="x",1,0)</f>
        <v>0</v>
      </c>
      <c r="I141" s="4">
        <f>+IF(FormularioFODA!H147="x",1,0)</f>
        <v>1</v>
      </c>
      <c r="J141" s="4">
        <f>SUM(E141:I141)</f>
        <v>1</v>
      </c>
      <c r="K141" s="4">
        <f>+IF(FormularioFODA!J147="x",1,0)*K$2</f>
        <v>0</v>
      </c>
      <c r="L141" s="4">
        <f>+IF(FormularioFODA!K147="x",1,0)*L$2</f>
        <v>0</v>
      </c>
      <c r="M141" s="4">
        <f>+IF(FormularioFODA!L147="x",1,0)*M$2</f>
        <v>3</v>
      </c>
      <c r="N141" s="4">
        <f>+IF(FormularioFODA!M147="x",1,0)*N$2</f>
        <v>0</v>
      </c>
      <c r="O141" s="4">
        <f>SUM(K141:N141)</f>
        <v>3</v>
      </c>
      <c r="P141" s="34">
        <f>IF($O$143=0,0,O141/$O$143)</f>
        <v>0.42857142857142855</v>
      </c>
      <c r="Q141" s="59">
        <f>+(J141/$I$2)*P141</f>
        <v>8.5714285714285715E-2</v>
      </c>
      <c r="R141" s="4"/>
      <c r="S141" s="4">
        <f t="shared" ref="S141:V142" si="103">+F141*S$2</f>
        <v>0</v>
      </c>
      <c r="T141" s="4">
        <f t="shared" si="103"/>
        <v>0</v>
      </c>
      <c r="U141" s="4">
        <f t="shared" si="103"/>
        <v>0</v>
      </c>
      <c r="V141" s="4">
        <f t="shared" si="103"/>
        <v>1</v>
      </c>
      <c r="W141" s="4">
        <f>SUM(S141:V141)</f>
        <v>1</v>
      </c>
      <c r="X141" s="59">
        <f>+W141*P141</f>
        <v>0.42857142857142855</v>
      </c>
      <c r="Y141" s="4"/>
      <c r="Z141" s="4" t="str">
        <f>+FormularioFODA!B147</f>
        <v>1 - Costos de los sustitutos. Se considera favorable si los sustitutos del producto tienen costos más altos que los del producto de la empresa.</v>
      </c>
    </row>
    <row r="142" spans="1:26" x14ac:dyDescent="0.25">
      <c r="A142" s="4"/>
      <c r="B142" s="4"/>
      <c r="C142" s="4" t="s">
        <v>705</v>
      </c>
      <c r="D142" s="4">
        <v>2</v>
      </c>
      <c r="E142" s="4">
        <f>+IF(FormularioFODA!D148="x",1,0)</f>
        <v>0</v>
      </c>
      <c r="F142" s="4">
        <f>+IF(FormularioFODA!E148="x",1,0)</f>
        <v>1</v>
      </c>
      <c r="G142" s="4">
        <f>+IF(FormularioFODA!F148="x",1,0)</f>
        <v>0</v>
      </c>
      <c r="H142" s="4">
        <f>+IF(FormularioFODA!G148="x",1,0)</f>
        <v>0</v>
      </c>
      <c r="I142" s="4">
        <f>+IF(FormularioFODA!H148="x",1,0)</f>
        <v>0</v>
      </c>
      <c r="J142" s="4">
        <f>SUM(E142:I142)</f>
        <v>1</v>
      </c>
      <c r="K142" s="4">
        <f>+IF(FormularioFODA!J148="x",1,0)*K$2</f>
        <v>0</v>
      </c>
      <c r="L142" s="4">
        <f>+IF(FormularioFODA!K148="x",1,0)*L$2</f>
        <v>0</v>
      </c>
      <c r="M142" s="4">
        <f>+IF(FormularioFODA!L148="x",1,0)*M$2</f>
        <v>0</v>
      </c>
      <c r="N142" s="4">
        <f>+IF(FormularioFODA!M148="x",1,0)*N$2</f>
        <v>4</v>
      </c>
      <c r="O142" s="4">
        <f>SUM(K142:N142)</f>
        <v>4</v>
      </c>
      <c r="P142" s="34">
        <f>IF($O$143=0,0,O142/$O$143)</f>
        <v>0.5714285714285714</v>
      </c>
      <c r="Q142" s="59">
        <f>+(J142/$I$2)*P142</f>
        <v>0.11428571428571428</v>
      </c>
      <c r="R142" s="4"/>
      <c r="S142" s="4">
        <f t="shared" si="103"/>
        <v>-1</v>
      </c>
      <c r="T142" s="4">
        <f t="shared" si="103"/>
        <v>0</v>
      </c>
      <c r="U142" s="4">
        <f t="shared" si="103"/>
        <v>0</v>
      </c>
      <c r="V142" s="4">
        <f t="shared" si="103"/>
        <v>0</v>
      </c>
      <c r="W142" s="4">
        <f>SUM(S142:V142)</f>
        <v>-1</v>
      </c>
      <c r="X142" s="59">
        <f>+W142*P142</f>
        <v>-0.5714285714285714</v>
      </c>
      <c r="Y142" s="4"/>
      <c r="Z142" s="4" t="str">
        <f>+FormularioFODA!B148</f>
        <v>2 - Cantidad y tendencia de sustitutos. Se considera favorable si la cantidad de sustitutos y las tendencias de consumo no ponen en riesgo la demanda del producto.</v>
      </c>
    </row>
    <row r="143" spans="1:26" x14ac:dyDescent="0.25">
      <c r="A143" s="4"/>
      <c r="B143" s="12" t="s">
        <v>832</v>
      </c>
      <c r="C143" s="4"/>
      <c r="D143" s="4"/>
      <c r="E143" s="12">
        <f t="shared" ref="E143:Q143" si="104">SUM(E141:E142)</f>
        <v>0</v>
      </c>
      <c r="F143" s="12">
        <f t="shared" si="104"/>
        <v>1</v>
      </c>
      <c r="G143" s="12">
        <f t="shared" si="104"/>
        <v>0</v>
      </c>
      <c r="H143" s="12">
        <f t="shared" si="104"/>
        <v>0</v>
      </c>
      <c r="I143" s="12">
        <f t="shared" si="104"/>
        <v>1</v>
      </c>
      <c r="J143" s="12">
        <f t="shared" si="104"/>
        <v>2</v>
      </c>
      <c r="K143" s="12">
        <f t="shared" si="104"/>
        <v>0</v>
      </c>
      <c r="L143" s="12">
        <f t="shared" si="104"/>
        <v>0</v>
      </c>
      <c r="M143" s="12">
        <f t="shared" si="104"/>
        <v>3</v>
      </c>
      <c r="N143" s="12">
        <f t="shared" si="104"/>
        <v>4</v>
      </c>
      <c r="O143" s="12">
        <f t="shared" si="104"/>
        <v>7</v>
      </c>
      <c r="P143" s="60">
        <f t="shared" si="104"/>
        <v>1</v>
      </c>
      <c r="Q143" s="61">
        <f t="shared" si="104"/>
        <v>0.2</v>
      </c>
      <c r="R143" s="4"/>
      <c r="S143" s="4"/>
      <c r="T143" s="4"/>
      <c r="U143" s="4"/>
      <c r="V143" s="4"/>
      <c r="W143" s="4"/>
      <c r="X143" s="61">
        <f>SUM(X141:X142)</f>
        <v>-0.14285714285714285</v>
      </c>
      <c r="Y143" s="4"/>
      <c r="Z143" s="4"/>
    </row>
    <row r="144" spans="1:26" x14ac:dyDescent="0.25">
      <c r="A144" s="4"/>
      <c r="B144" s="4"/>
      <c r="C144" s="4"/>
      <c r="D144" s="4"/>
      <c r="E144" s="4"/>
      <c r="F144" s="4"/>
      <c r="G144" s="4"/>
      <c r="H144" s="4"/>
      <c r="I144" s="4"/>
      <c r="J144" s="4"/>
      <c r="K144" s="4"/>
      <c r="L144" s="4"/>
      <c r="M144" s="4"/>
      <c r="N144" s="4"/>
      <c r="O144" s="4"/>
      <c r="P144" s="34"/>
      <c r="Q144" s="59"/>
      <c r="R144" s="4"/>
      <c r="S144" s="4"/>
      <c r="T144" s="4"/>
      <c r="U144" s="4"/>
      <c r="V144" s="4"/>
      <c r="W144" s="4"/>
      <c r="X144" s="59"/>
      <c r="Y144" s="4"/>
      <c r="Z144" s="4"/>
    </row>
    <row r="145" spans="1:26" x14ac:dyDescent="0.25">
      <c r="A145" s="4"/>
      <c r="B145" s="4" t="str">
        <f>+FormularioFODA!B150</f>
        <v>Ámbito Ambiental, Sanitario y Climático</v>
      </c>
      <c r="C145" s="4" t="s">
        <v>709</v>
      </c>
      <c r="D145" s="4">
        <v>1</v>
      </c>
      <c r="E145" s="4">
        <f>+IF(FormularioFODA!D151="x",1,0)</f>
        <v>0</v>
      </c>
      <c r="F145" s="4">
        <f>+IF(FormularioFODA!E151="x",1,0)</f>
        <v>0</v>
      </c>
      <c r="G145" s="4">
        <f>+IF(FormularioFODA!F151="x",1,0)</f>
        <v>0</v>
      </c>
      <c r="H145" s="4">
        <f>+IF(FormularioFODA!G151="x",1,0)</f>
        <v>1</v>
      </c>
      <c r="I145" s="4">
        <f>+IF(FormularioFODA!H151="x",1,0)</f>
        <v>0</v>
      </c>
      <c r="J145" s="4">
        <f>SUM(E145:I145)</f>
        <v>1</v>
      </c>
      <c r="K145" s="4">
        <f>+IF(FormularioFODA!J151="x",1,0)*K$2</f>
        <v>0</v>
      </c>
      <c r="L145" s="4">
        <f>+IF(FormularioFODA!K151="x",1,0)*L$2</f>
        <v>0</v>
      </c>
      <c r="M145" s="4">
        <f>+IF(FormularioFODA!L151="x",1,0)*M$2</f>
        <v>3</v>
      </c>
      <c r="N145" s="4">
        <f>+IF(FormularioFODA!M151="x",1,0)*N$2</f>
        <v>0</v>
      </c>
      <c r="O145" s="4">
        <f>SUM(K145:N145)</f>
        <v>3</v>
      </c>
      <c r="P145" s="34">
        <f>IF($O$149=0,0,O145/$O$149)</f>
        <v>0.21428571428571427</v>
      </c>
      <c r="Q145" s="59">
        <f>+(J145/$I$2)*P145</f>
        <v>4.2857142857142858E-2</v>
      </c>
      <c r="R145" s="4"/>
      <c r="S145" s="4">
        <f t="shared" ref="S145:V148" si="105">+F145*S$2</f>
        <v>0</v>
      </c>
      <c r="T145" s="4">
        <f t="shared" si="105"/>
        <v>0</v>
      </c>
      <c r="U145" s="4">
        <f t="shared" si="105"/>
        <v>0.5</v>
      </c>
      <c r="V145" s="4">
        <f t="shared" si="105"/>
        <v>0</v>
      </c>
      <c r="W145" s="4">
        <f>SUM(S145:V145)</f>
        <v>0.5</v>
      </c>
      <c r="X145" s="59">
        <f>+W145*P145</f>
        <v>0.10714285714285714</v>
      </c>
      <c r="Y145" s="4"/>
      <c r="Z145" s="4" t="str">
        <f>+FormularioFODA!B151</f>
        <v>1 - Regulación ambiental y forestal. Se considera favorable si la normativa ambiental, forestal y de debida diligencia (nacional y del destino) es clara y la empresa puede cumplirla a un costo razonable.</v>
      </c>
    </row>
    <row r="146" spans="1:26" x14ac:dyDescent="0.25">
      <c r="A146" s="4"/>
      <c r="B146" s="4"/>
      <c r="C146" s="4" t="s">
        <v>714</v>
      </c>
      <c r="D146" s="4">
        <v>2</v>
      </c>
      <c r="E146" s="4">
        <f>+IF(FormularioFODA!D152="x",1,0)</f>
        <v>0</v>
      </c>
      <c r="F146" s="4">
        <f>+IF(FormularioFODA!E152="x",1,0)</f>
        <v>1</v>
      </c>
      <c r="G146" s="4">
        <f>+IF(FormularioFODA!F152="x",1,0)</f>
        <v>0</v>
      </c>
      <c r="H146" s="4">
        <f>+IF(FormularioFODA!G152="x",1,0)</f>
        <v>0</v>
      </c>
      <c r="I146" s="4">
        <f>+IF(FormularioFODA!H152="x",1,0)</f>
        <v>0</v>
      </c>
      <c r="J146" s="4">
        <f>SUM(E146:I146)</f>
        <v>1</v>
      </c>
      <c r="K146" s="4">
        <f>+IF(FormularioFODA!J152="x",1,0)*K$2</f>
        <v>0</v>
      </c>
      <c r="L146" s="4">
        <f>+IF(FormularioFODA!K152="x",1,0)*L$2</f>
        <v>0</v>
      </c>
      <c r="M146" s="4">
        <f>+IF(FormularioFODA!L152="x",1,0)*M$2</f>
        <v>0</v>
      </c>
      <c r="N146" s="4">
        <f>+IF(FormularioFODA!M152="x",1,0)*N$2</f>
        <v>4</v>
      </c>
      <c r="O146" s="4">
        <f>SUM(K146:N146)</f>
        <v>4</v>
      </c>
      <c r="P146" s="34">
        <f>IF($O$149=0,0,O146/$O$149)</f>
        <v>0.2857142857142857</v>
      </c>
      <c r="Q146" s="59">
        <f>+(J146/$I$2)*P146</f>
        <v>5.7142857142857141E-2</v>
      </c>
      <c r="R146" s="4"/>
      <c r="S146" s="4">
        <f t="shared" si="105"/>
        <v>-1</v>
      </c>
      <c r="T146" s="4">
        <f t="shared" si="105"/>
        <v>0</v>
      </c>
      <c r="U146" s="4">
        <f t="shared" si="105"/>
        <v>0</v>
      </c>
      <c r="V146" s="4">
        <f t="shared" si="105"/>
        <v>0</v>
      </c>
      <c r="W146" s="4">
        <f>SUM(S146:V146)</f>
        <v>-1</v>
      </c>
      <c r="X146" s="59">
        <f>+W146*P146</f>
        <v>-0.2857142857142857</v>
      </c>
      <c r="Y146" s="4"/>
      <c r="Z146" s="4" t="str">
        <f>+FormularioFODA!B152</f>
        <v>2 - Requisitos sanitarios y fitosanitarios del destino. Se considera favorable si los requisitos sanitarios y fitosanitarios del destino (SENASA, INAL/ANMAT y autoridades de importación) son claros y alcanzables.</v>
      </c>
    </row>
    <row r="147" spans="1:26" x14ac:dyDescent="0.25">
      <c r="A147" s="4"/>
      <c r="B147" s="4"/>
      <c r="C147" s="4" t="s">
        <v>718</v>
      </c>
      <c r="D147" s="4">
        <v>3</v>
      </c>
      <c r="E147" s="4">
        <f>+IF(FormularioFODA!D153="x",1,0)</f>
        <v>0</v>
      </c>
      <c r="F147" s="4">
        <f>+IF(FormularioFODA!E153="x",1,0)</f>
        <v>0</v>
      </c>
      <c r="G147" s="4">
        <f>+IF(FormularioFODA!F153="x",1,0)</f>
        <v>0</v>
      </c>
      <c r="H147" s="4">
        <f>+IF(FormularioFODA!G153="x",1,0)</f>
        <v>1</v>
      </c>
      <c r="I147" s="4">
        <f>+IF(FormularioFODA!H153="x",1,0)</f>
        <v>0</v>
      </c>
      <c r="J147" s="4">
        <f>SUM(E147:I147)</f>
        <v>1</v>
      </c>
      <c r="K147" s="4">
        <f>+IF(FormularioFODA!J153="x",1,0)*K$2</f>
        <v>0</v>
      </c>
      <c r="L147" s="4">
        <f>+IF(FormularioFODA!K153="x",1,0)*L$2</f>
        <v>0</v>
      </c>
      <c r="M147" s="4">
        <f>+IF(FormularioFODA!L153="x",1,0)*M$2</f>
        <v>0</v>
      </c>
      <c r="N147" s="4">
        <f>+IF(FormularioFODA!M153="x",1,0)*N$2</f>
        <v>4</v>
      </c>
      <c r="O147" s="4">
        <f>SUM(K147:N147)</f>
        <v>4</v>
      </c>
      <c r="P147" s="34">
        <f>IF($O$149=0,0,O147/$O$149)</f>
        <v>0.2857142857142857</v>
      </c>
      <c r="Q147" s="59">
        <f>+(J147/$I$2)*P147</f>
        <v>5.7142857142857141E-2</v>
      </c>
      <c r="R147" s="4"/>
      <c r="S147" s="4">
        <f t="shared" si="105"/>
        <v>0</v>
      </c>
      <c r="T147" s="4">
        <f t="shared" si="105"/>
        <v>0</v>
      </c>
      <c r="U147" s="4">
        <f t="shared" si="105"/>
        <v>0.5</v>
      </c>
      <c r="V147" s="4">
        <f t="shared" si="105"/>
        <v>0</v>
      </c>
      <c r="W147" s="4">
        <f>SUM(S147:V147)</f>
        <v>0.5</v>
      </c>
      <c r="X147" s="59">
        <f>+W147*P147</f>
        <v>0.14285714285714285</v>
      </c>
      <c r="Y147" s="4"/>
      <c r="Z147" s="4" t="str">
        <f>+FormularioFODA!B153</f>
        <v>3 - Certificaciones exigidas por los compradores. Se considera favorable si las certificaciones que exigen los compradores (forestales, orgánicas, de inocuidad, de calidad) son accesibles en costo y tiempo.</v>
      </c>
    </row>
    <row r="148" spans="1:26" x14ac:dyDescent="0.25">
      <c r="A148" s="4"/>
      <c r="B148" s="4"/>
      <c r="C148" s="4" t="s">
        <v>722</v>
      </c>
      <c r="D148" s="4">
        <v>4</v>
      </c>
      <c r="E148" s="4">
        <f>+IF(FormularioFODA!D154="x",1,0)</f>
        <v>0</v>
      </c>
      <c r="F148" s="4">
        <f>+IF(FormularioFODA!E154="x",1,0)</f>
        <v>1</v>
      </c>
      <c r="G148" s="4">
        <f>+IF(FormularioFODA!F154="x",1,0)</f>
        <v>0</v>
      </c>
      <c r="H148" s="4">
        <f>+IF(FormularioFODA!G154="x",1,0)</f>
        <v>0</v>
      </c>
      <c r="I148" s="4">
        <f>+IF(FormularioFODA!H154="x",1,0)</f>
        <v>0</v>
      </c>
      <c r="J148" s="4">
        <f>SUM(E148:I148)</f>
        <v>1</v>
      </c>
      <c r="K148" s="4">
        <f>+IF(FormularioFODA!J154="x",1,0)*K$2</f>
        <v>0</v>
      </c>
      <c r="L148" s="4">
        <f>+IF(FormularioFODA!K154="x",1,0)*L$2</f>
        <v>0</v>
      </c>
      <c r="M148" s="4">
        <f>+IF(FormularioFODA!L154="x",1,0)*M$2</f>
        <v>3</v>
      </c>
      <c r="N148" s="4">
        <f>+IF(FormularioFODA!M154="x",1,0)*N$2</f>
        <v>0</v>
      </c>
      <c r="O148" s="4">
        <f>SUM(K148:N148)</f>
        <v>3</v>
      </c>
      <c r="P148" s="34">
        <f>IF($O$149=0,0,O148/$O$149)</f>
        <v>0.21428571428571427</v>
      </c>
      <c r="Q148" s="59">
        <f>+(J148/$I$2)*P148</f>
        <v>4.2857142857142858E-2</v>
      </c>
      <c r="R148" s="4"/>
      <c r="S148" s="4">
        <f t="shared" si="105"/>
        <v>-1</v>
      </c>
      <c r="T148" s="4">
        <f t="shared" si="105"/>
        <v>0</v>
      </c>
      <c r="U148" s="4">
        <f t="shared" si="105"/>
        <v>0</v>
      </c>
      <c r="V148" s="4">
        <f t="shared" si="105"/>
        <v>0</v>
      </c>
      <c r="W148" s="4">
        <f>SUM(S148:V148)</f>
        <v>-1</v>
      </c>
      <c r="X148" s="59">
        <f>+W148*P148</f>
        <v>-0.21428571428571427</v>
      </c>
      <c r="Y148" s="4"/>
      <c r="Z148" s="4" t="str">
        <f>+FormularioFODA!B154</f>
        <v>4 - Riesgo climático y de cosecha. Se considera favorable si los eventos climáticos (sequías, heladas, lluvias intensas) no afectan de manera recurrente la disponibilidad de materia prima ni la logística.</v>
      </c>
    </row>
    <row r="149" spans="1:26" x14ac:dyDescent="0.25">
      <c r="A149" s="4"/>
      <c r="B149" s="12" t="s">
        <v>833</v>
      </c>
      <c r="C149" s="4"/>
      <c r="D149" s="4"/>
      <c r="E149" s="12">
        <f t="shared" ref="E149:Q149" si="106">SUM(E145:E148)</f>
        <v>0</v>
      </c>
      <c r="F149" s="12">
        <f t="shared" si="106"/>
        <v>2</v>
      </c>
      <c r="G149" s="12">
        <f t="shared" si="106"/>
        <v>0</v>
      </c>
      <c r="H149" s="12">
        <f t="shared" si="106"/>
        <v>2</v>
      </c>
      <c r="I149" s="12">
        <f t="shared" si="106"/>
        <v>0</v>
      </c>
      <c r="J149" s="12">
        <f t="shared" si="106"/>
        <v>4</v>
      </c>
      <c r="K149" s="12">
        <f t="shared" si="106"/>
        <v>0</v>
      </c>
      <c r="L149" s="12">
        <f t="shared" si="106"/>
        <v>0</v>
      </c>
      <c r="M149" s="12">
        <f t="shared" si="106"/>
        <v>6</v>
      </c>
      <c r="N149" s="12">
        <f t="shared" si="106"/>
        <v>8</v>
      </c>
      <c r="O149" s="12">
        <f t="shared" si="106"/>
        <v>14</v>
      </c>
      <c r="P149" s="60">
        <f t="shared" si="106"/>
        <v>1</v>
      </c>
      <c r="Q149" s="61">
        <f t="shared" si="106"/>
        <v>0.2</v>
      </c>
      <c r="R149" s="4"/>
      <c r="S149" s="4"/>
      <c r="T149" s="4"/>
      <c r="U149" s="4"/>
      <c r="V149" s="4"/>
      <c r="W149" s="4"/>
      <c r="X149" s="61">
        <f>SUM(X145:X148)</f>
        <v>-0.24999999999999997</v>
      </c>
      <c r="Y149" s="4"/>
      <c r="Z149" s="4"/>
    </row>
  </sheetData>
  <mergeCells count="2">
    <mergeCell ref="E1:I1"/>
    <mergeCell ref="K1:N1"/>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Q84"/>
  <sheetViews>
    <sheetView showGridLines="0" zoomScaleNormal="100" workbookViewId="0">
      <pane ySplit="2" topLeftCell="A12" activePane="bottomLeft" state="frozen"/>
      <selection pane="bottomLeft" activeCell="D21" sqref="D21"/>
    </sheetView>
  </sheetViews>
  <sheetFormatPr baseColWidth="10" defaultColWidth="8.7109375" defaultRowHeight="15" x14ac:dyDescent="0.25"/>
  <cols>
    <col min="1" max="1" width="3.42578125" customWidth="1"/>
    <col min="2" max="2" width="25" customWidth="1"/>
    <col min="3" max="3" width="6" customWidth="1"/>
    <col min="4" max="4" width="44" customWidth="1"/>
    <col min="5" max="5" width="15.85546875" customWidth="1"/>
    <col min="6" max="10" width="7" customWidth="1"/>
    <col min="14" max="14" width="44.28515625" customWidth="1"/>
    <col min="15" max="15" width="3" customWidth="1"/>
    <col min="16" max="16" width="34" customWidth="1"/>
    <col min="17" max="17" width="11.42578125" customWidth="1"/>
  </cols>
  <sheetData>
    <row r="2" spans="2:17" x14ac:dyDescent="0.25">
      <c r="D2" s="12" t="s">
        <v>834</v>
      </c>
      <c r="F2" s="12" t="s">
        <v>835</v>
      </c>
      <c r="N2" s="12" t="s">
        <v>836</v>
      </c>
      <c r="P2" s="12" t="s">
        <v>837</v>
      </c>
      <c r="Q2" s="12" t="s">
        <v>55</v>
      </c>
    </row>
    <row r="3" spans="2:17" x14ac:dyDescent="0.25">
      <c r="B3" s="12" t="str">
        <f>+FormularioFODA!B5</f>
        <v>Segmentos de Clientes</v>
      </c>
      <c r="C3" s="4" t="s">
        <v>247</v>
      </c>
      <c r="D3" s="4" t="str">
        <f>+CalculosFoda!AF3</f>
        <v>Definición de segmentos y países objetivo</v>
      </c>
      <c r="E3" s="4" t="str">
        <f>IF(COUNTA(F3:J3)&gt;0,"Dependiente","Independiente")</f>
        <v>Dependiente</v>
      </c>
      <c r="F3" s="4" t="str">
        <f>+Q40</f>
        <v>EF3</v>
      </c>
      <c r="G3" s="4" t="str">
        <f>+Q43</f>
        <v>EF6</v>
      </c>
      <c r="H3" s="4"/>
      <c r="I3" s="4"/>
      <c r="J3" s="4"/>
      <c r="N3" s="4" t="s">
        <v>533</v>
      </c>
      <c r="P3" s="12" t="s">
        <v>183</v>
      </c>
      <c r="Q3" s="4" t="s">
        <v>532</v>
      </c>
    </row>
    <row r="4" spans="2:17" x14ac:dyDescent="0.25">
      <c r="C4" s="4" t="s">
        <v>253</v>
      </c>
      <c r="D4" s="4" t="str">
        <f>+CalculosFoda!AF4</f>
        <v>Conocimiento de las necesidades del cliente externo</v>
      </c>
      <c r="E4" s="4" t="str">
        <f>IF(COUNTA(F4:J4)&gt;0,"Dependiente","Independiente")</f>
        <v>Dependiente</v>
      </c>
      <c r="F4" s="4" t="str">
        <f>+Q19</f>
        <v>EC1</v>
      </c>
      <c r="G4" s="4"/>
      <c r="H4" s="4"/>
      <c r="I4" s="4"/>
      <c r="J4" s="4"/>
      <c r="N4" s="4" t="s">
        <v>539</v>
      </c>
      <c r="Q4" s="4" t="s">
        <v>538</v>
      </c>
    </row>
    <row r="5" spans="2:17" x14ac:dyDescent="0.25">
      <c r="C5" s="4" t="s">
        <v>258</v>
      </c>
      <c r="D5" s="4" t="str">
        <f>+CalculosFoda!AF5</f>
        <v>Concentración de clientes</v>
      </c>
      <c r="E5" s="4" t="str">
        <f>IF(COUNTA(F5:J5)&gt;0,"Dependiente","Independiente")</f>
        <v>Dependiente</v>
      </c>
      <c r="F5" s="4" t="str">
        <f>+Q41</f>
        <v>EF4</v>
      </c>
      <c r="G5" s="4"/>
      <c r="H5" s="4"/>
      <c r="I5" s="4"/>
      <c r="J5" s="4"/>
      <c r="N5" s="4" t="s">
        <v>543</v>
      </c>
      <c r="Q5" s="4" t="s">
        <v>542</v>
      </c>
    </row>
    <row r="6" spans="2:17" x14ac:dyDescent="0.25">
      <c r="C6" s="4" t="s">
        <v>263</v>
      </c>
      <c r="D6" s="4" t="str">
        <f>+CalculosFoda!AF6</f>
        <v>Experiencia previa exportadora</v>
      </c>
      <c r="E6" s="4" t="str">
        <f>IF(COUNTA(F6:J6)&gt;0,"Dependiente","Independiente")</f>
        <v>Independiente</v>
      </c>
      <c r="F6" s="4"/>
      <c r="G6" s="4"/>
      <c r="H6" s="4"/>
      <c r="I6" s="4"/>
      <c r="J6" s="4"/>
      <c r="N6" s="4" t="s">
        <v>547</v>
      </c>
      <c r="Q6" s="4" t="s">
        <v>546</v>
      </c>
    </row>
    <row r="7" spans="2:17" x14ac:dyDescent="0.25">
      <c r="C7" s="4" t="s">
        <v>268</v>
      </c>
      <c r="D7" s="4" t="str">
        <f>+CalculosFoda!AF7</f>
        <v>Acceso a información de mercados</v>
      </c>
      <c r="E7" s="4" t="str">
        <f>IF(COUNTA(F7:J7)&gt;0,"Dependiente","Independiente")</f>
        <v>Dependiente</v>
      </c>
      <c r="F7" s="4" t="str">
        <f>+Q43</f>
        <v>EF6</v>
      </c>
      <c r="G7" s="4" t="str">
        <f>+Q26</f>
        <v>ED2</v>
      </c>
      <c r="H7" s="4"/>
      <c r="I7" s="4"/>
      <c r="J7" s="4"/>
      <c r="N7" s="4" t="s">
        <v>551</v>
      </c>
      <c r="Q7" s="4" t="s">
        <v>550</v>
      </c>
    </row>
    <row r="8" spans="2:17" x14ac:dyDescent="0.25">
      <c r="N8" s="4" t="s">
        <v>555</v>
      </c>
      <c r="Q8" s="4" t="s">
        <v>554</v>
      </c>
    </row>
    <row r="10" spans="2:17" x14ac:dyDescent="0.25">
      <c r="B10" s="12" t="str">
        <f>+FormularioFODA!B12</f>
        <v>Propuesta de Valor</v>
      </c>
      <c r="C10" s="4" t="s">
        <v>273</v>
      </c>
      <c r="D10" s="4" t="str">
        <f>+CalculosFoda!AF10</f>
        <v>Diferenciación del producto</v>
      </c>
      <c r="E10" s="4" t="str">
        <f t="shared" ref="E10:E16" si="0">IF(COUNTA(F10:J10)&gt;0,"Dependiente","Independiente")</f>
        <v>Dependiente</v>
      </c>
      <c r="F10" s="4" t="str">
        <f>+Q42</f>
        <v>EF5</v>
      </c>
      <c r="G10" s="4" t="str">
        <f>+Q19</f>
        <v>EC1</v>
      </c>
      <c r="H10" s="4"/>
      <c r="I10" s="4"/>
      <c r="J10" s="4"/>
      <c r="N10" s="4" t="s">
        <v>559</v>
      </c>
      <c r="P10" s="12" t="s">
        <v>190</v>
      </c>
      <c r="Q10" s="4" t="s">
        <v>558</v>
      </c>
    </row>
    <row r="11" spans="2:17" x14ac:dyDescent="0.25">
      <c r="C11" s="4" t="s">
        <v>279</v>
      </c>
      <c r="D11" s="4" t="str">
        <f>+CalculosFoda!AF11</f>
        <v>Adecuación a requisitos del mercado destino</v>
      </c>
      <c r="E11" s="4" t="str">
        <f t="shared" si="0"/>
        <v>Dependiente</v>
      </c>
      <c r="F11" s="4" t="str">
        <f>+Q5</f>
        <v>EA3</v>
      </c>
      <c r="G11" s="4" t="str">
        <f>+Q54</f>
        <v>EI2</v>
      </c>
      <c r="H11" s="4"/>
      <c r="I11" s="4"/>
      <c r="J11" s="4"/>
      <c r="N11" s="4" t="s">
        <v>564</v>
      </c>
      <c r="Q11" s="4" t="s">
        <v>563</v>
      </c>
    </row>
    <row r="12" spans="2:17" x14ac:dyDescent="0.25">
      <c r="C12" s="4" t="s">
        <v>283</v>
      </c>
      <c r="D12" s="4" t="str">
        <f>+CalculosFoda!AF12</f>
        <v>Certificaciones y normas de producto</v>
      </c>
      <c r="E12" s="4" t="str">
        <f t="shared" si="0"/>
        <v>Dependiente</v>
      </c>
      <c r="F12" s="4" t="str">
        <f>+Q55</f>
        <v>EI3</v>
      </c>
      <c r="G12" s="4" t="str">
        <f>+Q5</f>
        <v>EA3</v>
      </c>
      <c r="H12" s="4"/>
      <c r="I12" s="4"/>
      <c r="J12" s="4"/>
      <c r="N12" s="4" t="s">
        <v>568</v>
      </c>
      <c r="Q12" s="4" t="s">
        <v>567</v>
      </c>
    </row>
    <row r="13" spans="2:17" x14ac:dyDescent="0.25">
      <c r="C13" s="4" t="s">
        <v>287</v>
      </c>
      <c r="D13" s="4" t="str">
        <f>+CalculosFoda!AF13</f>
        <v>Competitividad de precio internacional</v>
      </c>
      <c r="E13" s="4" t="str">
        <f t="shared" si="0"/>
        <v>Dependiente</v>
      </c>
      <c r="F13" s="4" t="str">
        <f>+Q12</f>
        <v>EB3</v>
      </c>
      <c r="G13" s="4" t="str">
        <f>+Q17</f>
        <v>EB8</v>
      </c>
      <c r="H13" s="4" t="str">
        <f>+Q42</f>
        <v>EF5</v>
      </c>
      <c r="I13" s="4"/>
      <c r="J13" s="4"/>
      <c r="N13" s="4" t="s">
        <v>572</v>
      </c>
      <c r="Q13" s="4" t="s">
        <v>571</v>
      </c>
    </row>
    <row r="14" spans="2:17" x14ac:dyDescent="0.25">
      <c r="C14" s="4" t="s">
        <v>291</v>
      </c>
      <c r="D14" s="4" t="str">
        <f>+CalculosFoda!AF14</f>
        <v>Marca, presentación y material comercial</v>
      </c>
      <c r="E14" s="4" t="str">
        <f t="shared" si="0"/>
        <v>Dependiente</v>
      </c>
      <c r="F14" s="4" t="str">
        <f>+Q8</f>
        <v>EA6</v>
      </c>
      <c r="G14" s="4"/>
      <c r="H14" s="4"/>
      <c r="I14" s="4"/>
      <c r="J14" s="4"/>
      <c r="N14" s="4" t="s">
        <v>576</v>
      </c>
      <c r="Q14" s="4" t="s">
        <v>575</v>
      </c>
    </row>
    <row r="15" spans="2:17" x14ac:dyDescent="0.25">
      <c r="C15" s="4" t="s">
        <v>295</v>
      </c>
      <c r="D15" s="4" t="str">
        <f>+CalculosFoda!AF15</f>
        <v>Origen e identidad regional</v>
      </c>
      <c r="E15" s="4" t="str">
        <f t="shared" si="0"/>
        <v>Dependiente</v>
      </c>
      <c r="F15" s="4" t="str">
        <f>+Q21</f>
        <v>EC3</v>
      </c>
      <c r="G15" s="4" t="str">
        <f>+Q8</f>
        <v>EA6</v>
      </c>
      <c r="H15" s="4"/>
      <c r="I15" s="4"/>
      <c r="J15" s="4"/>
      <c r="N15" s="4" t="s">
        <v>580</v>
      </c>
      <c r="Q15" s="4" t="s">
        <v>579</v>
      </c>
    </row>
    <row r="16" spans="2:17" x14ac:dyDescent="0.25">
      <c r="C16" s="4" t="s">
        <v>299</v>
      </c>
      <c r="D16" s="4" t="str">
        <f>+CalculosFoda!AF16</f>
        <v>Amplitud de línea y desarrollo de nuevos productos</v>
      </c>
      <c r="E16" s="4" t="str">
        <f t="shared" si="0"/>
        <v>Dependiente</v>
      </c>
      <c r="F16" s="4" t="str">
        <f>+Q25</f>
        <v>ED1</v>
      </c>
      <c r="G16" s="4" t="str">
        <f>+Q40</f>
        <v>EF3</v>
      </c>
      <c r="H16" s="4"/>
      <c r="I16" s="4"/>
      <c r="J16" s="4"/>
      <c r="N16" s="4" t="s">
        <v>584</v>
      </c>
      <c r="Q16" s="4" t="s">
        <v>583</v>
      </c>
    </row>
    <row r="17" spans="2:17" x14ac:dyDescent="0.25">
      <c r="N17" s="4" t="s">
        <v>588</v>
      </c>
      <c r="Q17" s="4" t="s">
        <v>587</v>
      </c>
    </row>
    <row r="19" spans="2:17" x14ac:dyDescent="0.25">
      <c r="B19" s="12" t="str">
        <f>+FormularioFODA!B21</f>
        <v>Canales</v>
      </c>
      <c r="C19" s="4" t="s">
        <v>303</v>
      </c>
      <c r="D19" s="4" t="str">
        <f>+CalculosFoda!AF19</f>
        <v>Canales de comercialización externos</v>
      </c>
      <c r="E19" s="4" t="str">
        <f>IF(COUNTA(F19:J19)&gt;0,"Dependiente","Independiente")</f>
        <v>Dependiente</v>
      </c>
      <c r="F19" s="4" t="str">
        <f>+Q38</f>
        <v>EF1</v>
      </c>
      <c r="G19" s="4" t="str">
        <f>+Q26</f>
        <v>ED2</v>
      </c>
      <c r="H19" s="4"/>
      <c r="I19" s="4"/>
      <c r="J19" s="4"/>
      <c r="N19" s="4" t="s">
        <v>592</v>
      </c>
      <c r="P19" s="12" t="s">
        <v>199</v>
      </c>
      <c r="Q19" s="4" t="s">
        <v>591</v>
      </c>
    </row>
    <row r="20" spans="2:17" x14ac:dyDescent="0.25">
      <c r="C20" s="4" t="s">
        <v>309</v>
      </c>
      <c r="D20" s="4" t="str">
        <f>+CalculosFoda!AF20</f>
        <v>Presencia digital y venta online</v>
      </c>
      <c r="E20" s="4" t="str">
        <f>IF(COUNTA(F20:J20)&gt;0,"Dependiente","Independiente")</f>
        <v>Dependiente</v>
      </c>
      <c r="F20" s="4" t="str">
        <f>+Q26</f>
        <v>ED2</v>
      </c>
      <c r="G20" s="4" t="str">
        <f>+Q27</f>
        <v>ED3</v>
      </c>
      <c r="H20" s="4"/>
      <c r="I20" s="4"/>
      <c r="J20" s="4"/>
      <c r="N20" s="4" t="s">
        <v>597</v>
      </c>
      <c r="Q20" s="4" t="s">
        <v>596</v>
      </c>
    </row>
    <row r="21" spans="2:17" x14ac:dyDescent="0.25">
      <c r="C21" s="4" t="s">
        <v>314</v>
      </c>
      <c r="D21" s="4" t="str">
        <f>+CalculosFoda!AF21</f>
        <v>Promoción internacional</v>
      </c>
      <c r="E21" s="4" t="str">
        <f>IF(COUNTA(F21:J21)&gt;0,"Dependiente","Independiente")</f>
        <v>Dependiente</v>
      </c>
      <c r="F21" s="4" t="str">
        <f>+Q7</f>
        <v>EA5</v>
      </c>
      <c r="G21" s="4"/>
      <c r="H21" s="4"/>
      <c r="I21" s="4"/>
      <c r="J21" s="4"/>
      <c r="N21" s="4" t="s">
        <v>601</v>
      </c>
      <c r="Q21" s="4" t="s">
        <v>600</v>
      </c>
    </row>
    <row r="22" spans="2:17" x14ac:dyDescent="0.25">
      <c r="C22" s="4" t="s">
        <v>319</v>
      </c>
      <c r="D22" s="4" t="str">
        <f>+CalculosFoda!AF22</f>
        <v>Logística y embalaje de exportación</v>
      </c>
      <c r="E22" s="4" t="str">
        <f>IF(COUNTA(F22:J22)&gt;0,"Dependiente","Independiente")</f>
        <v>Dependiente</v>
      </c>
      <c r="F22" s="4" t="str">
        <f>+Q30</f>
        <v>EE1</v>
      </c>
      <c r="G22" s="4" t="str">
        <f>+Q31</f>
        <v>EE2</v>
      </c>
      <c r="H22" s="4" t="str">
        <f>+Q33</f>
        <v>EE4</v>
      </c>
      <c r="I22" s="4"/>
      <c r="J22" s="4"/>
      <c r="N22" s="4" t="s">
        <v>605</v>
      </c>
      <c r="Q22" s="4" t="s">
        <v>604</v>
      </c>
    </row>
    <row r="23" spans="2:17" x14ac:dyDescent="0.25">
      <c r="C23" s="4" t="s">
        <v>324</v>
      </c>
      <c r="D23" s="4" t="str">
        <f>+CalculosFoda!AF23</f>
        <v>Gestión documental y aduanera</v>
      </c>
      <c r="E23" s="4" t="str">
        <f>IF(COUNTA(F23:J23)&gt;0,"Dependiente","Independiente")</f>
        <v>Dependiente</v>
      </c>
      <c r="F23" s="4" t="str">
        <f>+Q6</f>
        <v>EA4</v>
      </c>
      <c r="G23" s="4" t="str">
        <f>+Q34</f>
        <v>EE5</v>
      </c>
      <c r="H23" s="4" t="str">
        <f>+Q27</f>
        <v>ED3</v>
      </c>
      <c r="I23" s="4"/>
      <c r="J23" s="4"/>
      <c r="N23" s="4" t="s">
        <v>609</v>
      </c>
      <c r="Q23" s="4" t="s">
        <v>608</v>
      </c>
    </row>
    <row r="25" spans="2:17" x14ac:dyDescent="0.25">
      <c r="N25" s="4" t="s">
        <v>613</v>
      </c>
      <c r="P25" s="12" t="s">
        <v>205</v>
      </c>
      <c r="Q25" s="4" t="s">
        <v>612</v>
      </c>
    </row>
    <row r="26" spans="2:17" x14ac:dyDescent="0.25">
      <c r="B26" s="12" t="str">
        <f>+FormularioFODA!B28</f>
        <v>Relación con Clientes</v>
      </c>
      <c r="C26" s="4" t="s">
        <v>329</v>
      </c>
      <c r="D26" s="4" t="str">
        <f>+CalculosFoda!AF26</f>
        <v>Atención y postventa internacional</v>
      </c>
      <c r="E26" s="4" t="str">
        <f>IF(COUNTA(F26:J26)&gt;0,"Dependiente","Independiente")</f>
        <v>Independiente</v>
      </c>
      <c r="F26" s="4"/>
      <c r="G26" s="4"/>
      <c r="H26" s="4"/>
      <c r="I26" s="4"/>
      <c r="J26" s="4"/>
      <c r="N26" s="4" t="s">
        <v>618</v>
      </c>
      <c r="Q26" s="4" t="s">
        <v>617</v>
      </c>
    </row>
    <row r="27" spans="2:17" x14ac:dyDescent="0.25">
      <c r="C27" s="4" t="s">
        <v>335</v>
      </c>
      <c r="D27" s="4" t="str">
        <f>+CalculosFoda!AF27</f>
        <v>Comunicación en idioma extranjero</v>
      </c>
      <c r="E27" s="4" t="str">
        <f>IF(COUNTA(F27:J27)&gt;0,"Dependiente","Independiente")</f>
        <v>Dependiente</v>
      </c>
      <c r="F27" s="4" t="str">
        <f>+Q20</f>
        <v>EC2</v>
      </c>
      <c r="G27" s="4"/>
      <c r="H27" s="4"/>
      <c r="I27" s="4"/>
      <c r="J27" s="4"/>
      <c r="N27" s="4" t="s">
        <v>622</v>
      </c>
      <c r="Q27" s="4" t="s">
        <v>621</v>
      </c>
    </row>
    <row r="28" spans="2:17" x14ac:dyDescent="0.25">
      <c r="C28" s="4" t="s">
        <v>340</v>
      </c>
      <c r="D28" s="4" t="str">
        <f>+CalculosFoda!AF28</f>
        <v>Contratos y condiciones con compradores</v>
      </c>
      <c r="E28" s="4" t="str">
        <f>IF(COUNTA(F28:J28)&gt;0,"Dependiente","Independiente")</f>
        <v>Dependiente</v>
      </c>
      <c r="F28" s="4" t="str">
        <f>+Q8</f>
        <v>EA6</v>
      </c>
      <c r="G28" s="4"/>
      <c r="H28" s="4"/>
      <c r="I28" s="4"/>
      <c r="J28" s="4"/>
      <c r="N28" s="4" t="s">
        <v>626</v>
      </c>
      <c r="Q28" s="4" t="s">
        <v>625</v>
      </c>
    </row>
    <row r="29" spans="2:17" x14ac:dyDescent="0.25">
      <c r="C29" s="4" t="s">
        <v>345</v>
      </c>
      <c r="D29" s="4" t="str">
        <f>+CalculosFoda!AF29</f>
        <v>Fidelización y recompra</v>
      </c>
      <c r="E29" s="4" t="str">
        <f>IF(COUNTA(F29:J29)&gt;0,"Dependiente","Independiente")</f>
        <v>Dependiente</v>
      </c>
      <c r="F29" s="4" t="str">
        <f>+Q39</f>
        <v>EF2</v>
      </c>
      <c r="G29" s="4"/>
      <c r="H29" s="4"/>
      <c r="I29" s="4"/>
      <c r="J29" s="4"/>
    </row>
    <row r="30" spans="2:17" x14ac:dyDescent="0.25">
      <c r="C30" s="4" t="s">
        <v>350</v>
      </c>
      <c r="D30" s="4" t="str">
        <f>+CalculosFoda!AF30</f>
        <v>Gestión de reclamos y devoluciones</v>
      </c>
      <c r="E30" s="4" t="str">
        <f>IF(COUNTA(F30:J30)&gt;0,"Dependiente","Independiente")</f>
        <v>Independiente</v>
      </c>
      <c r="F30" s="4"/>
      <c r="G30" s="4"/>
      <c r="H30" s="4"/>
      <c r="I30" s="4"/>
      <c r="J30" s="4"/>
      <c r="N30" s="4" t="s">
        <v>630</v>
      </c>
      <c r="P30" s="12" t="s">
        <v>210</v>
      </c>
      <c r="Q30" s="4" t="s">
        <v>629</v>
      </c>
    </row>
    <row r="31" spans="2:17" x14ac:dyDescent="0.25">
      <c r="N31" s="4" t="s">
        <v>635</v>
      </c>
      <c r="Q31" s="4" t="s">
        <v>634</v>
      </c>
    </row>
    <row r="32" spans="2:17" x14ac:dyDescent="0.25">
      <c r="N32" s="4" t="s">
        <v>639</v>
      </c>
      <c r="Q32" s="4" t="s">
        <v>638</v>
      </c>
    </row>
    <row r="33" spans="2:17" x14ac:dyDescent="0.25">
      <c r="B33" s="12" t="str">
        <f>+FormularioFODA!B35</f>
        <v>Fuentes de Ingresos</v>
      </c>
      <c r="C33" s="4" t="s">
        <v>354</v>
      </c>
      <c r="D33" s="4" t="str">
        <f>+CalculosFoda!AF33</f>
        <v>Evolución de ventas</v>
      </c>
      <c r="E33" s="4" t="str">
        <f t="shared" ref="E33:E38" si="1">IF(COUNTA(F33:J33)&gt;0,"Dependiente","Independiente")</f>
        <v>Dependiente</v>
      </c>
      <c r="F33" s="4" t="str">
        <f>+Q10</f>
        <v>EB1</v>
      </c>
      <c r="G33" s="4" t="str">
        <f>+Q11</f>
        <v>EB2</v>
      </c>
      <c r="H33" s="4"/>
      <c r="I33" s="4"/>
      <c r="J33" s="4"/>
      <c r="N33" s="4" t="s">
        <v>643</v>
      </c>
      <c r="Q33" s="4" t="s">
        <v>642</v>
      </c>
    </row>
    <row r="34" spans="2:17" x14ac:dyDescent="0.25">
      <c r="C34" s="4" t="s">
        <v>359</v>
      </c>
      <c r="D34" s="4" t="str">
        <f>+CalculosFoda!AF34</f>
        <v>Fijación de precio de exportación</v>
      </c>
      <c r="E34" s="4" t="str">
        <f t="shared" si="1"/>
        <v>Dependiente</v>
      </c>
      <c r="F34" s="4" t="str">
        <f>+Q12</f>
        <v>EB3</v>
      </c>
      <c r="G34" s="4" t="str">
        <f>+Q17</f>
        <v>EB8</v>
      </c>
      <c r="H34" s="4"/>
      <c r="I34" s="4"/>
      <c r="J34" s="4"/>
      <c r="N34" s="4" t="s">
        <v>647</v>
      </c>
      <c r="Q34" s="4" t="s">
        <v>646</v>
      </c>
    </row>
    <row r="35" spans="2:17" x14ac:dyDescent="0.25">
      <c r="C35" s="4" t="s">
        <v>364</v>
      </c>
      <c r="D35" s="4" t="str">
        <f>+CalculosFoda!AF35</f>
        <v>Margen del producto exportable</v>
      </c>
      <c r="E35" s="4" t="str">
        <f t="shared" si="1"/>
        <v>Dependiente</v>
      </c>
      <c r="F35" s="4" t="str">
        <f>+Q16</f>
        <v>EB7</v>
      </c>
      <c r="G35" s="4" t="str">
        <f>+Q13</f>
        <v>EB4</v>
      </c>
      <c r="H35" s="4"/>
      <c r="I35" s="4"/>
      <c r="J35" s="4"/>
      <c r="N35" s="4" t="s">
        <v>651</v>
      </c>
      <c r="Q35" s="4" t="s">
        <v>650</v>
      </c>
    </row>
    <row r="36" spans="2:17" x14ac:dyDescent="0.25">
      <c r="C36" s="4" t="s">
        <v>369</v>
      </c>
      <c r="D36" s="4" t="str">
        <f>+CalculosFoda!AF36</f>
        <v>Medios y condiciones de cobro</v>
      </c>
      <c r="E36" s="4" t="str">
        <f t="shared" si="1"/>
        <v>Dependiente</v>
      </c>
      <c r="F36" s="4" t="str">
        <f>+Q15</f>
        <v>EB6</v>
      </c>
      <c r="G36" s="4"/>
      <c r="H36" s="4"/>
      <c r="I36" s="4"/>
      <c r="J36" s="4"/>
      <c r="N36" s="4" t="s">
        <v>655</v>
      </c>
      <c r="Q36" s="4" t="s">
        <v>654</v>
      </c>
    </row>
    <row r="37" spans="2:17" x14ac:dyDescent="0.25">
      <c r="C37" s="4" t="s">
        <v>374</v>
      </c>
      <c r="D37" s="4" t="str">
        <f>+CalculosFoda!AF37</f>
        <v>Diversificación de ingresos</v>
      </c>
      <c r="E37" s="4" t="str">
        <f t="shared" si="1"/>
        <v>Dependiente</v>
      </c>
      <c r="F37" s="4" t="str">
        <f>+Q41</f>
        <v>EF4</v>
      </c>
      <c r="G37" s="4"/>
      <c r="H37" s="4"/>
      <c r="I37" s="4"/>
      <c r="J37" s="4"/>
    </row>
    <row r="38" spans="2:17" x14ac:dyDescent="0.25">
      <c r="C38" s="4" t="s">
        <v>378</v>
      </c>
      <c r="D38" s="4" t="str">
        <f>+CalculosFoda!AF38</f>
        <v>Resistencia a variaciones cambiarias</v>
      </c>
      <c r="E38" s="4" t="str">
        <f t="shared" si="1"/>
        <v>Dependiente</v>
      </c>
      <c r="F38" s="4" t="str">
        <f>+Q12</f>
        <v>EB3</v>
      </c>
      <c r="G38" s="4"/>
      <c r="H38" s="4"/>
      <c r="I38" s="4"/>
      <c r="J38" s="4"/>
      <c r="N38" s="4" t="s">
        <v>659</v>
      </c>
      <c r="P38" s="12" t="s">
        <v>218</v>
      </c>
      <c r="Q38" s="4" t="s">
        <v>658</v>
      </c>
    </row>
    <row r="39" spans="2:17" x14ac:dyDescent="0.25">
      <c r="N39" s="4" t="s">
        <v>664</v>
      </c>
      <c r="Q39" s="4" t="s">
        <v>663</v>
      </c>
    </row>
    <row r="40" spans="2:17" x14ac:dyDescent="0.25">
      <c r="N40" s="4" t="s">
        <v>668</v>
      </c>
      <c r="Q40" s="4" t="s">
        <v>667</v>
      </c>
    </row>
    <row r="41" spans="2:17" x14ac:dyDescent="0.25">
      <c r="B41" s="12" t="str">
        <f>+FormularioFODA!B44</f>
        <v>Recursos Clave</v>
      </c>
      <c r="C41" s="4" t="s">
        <v>383</v>
      </c>
      <c r="D41" s="4" t="str">
        <f>+CalculosFoda!AF41</f>
        <v>Capacidad instalada y ociosa</v>
      </c>
      <c r="E41" s="4" t="str">
        <f t="shared" ref="E41:E48" si="2">IF(COUNTA(F41:J41)&gt;0,"Dependiente","Independiente")</f>
        <v>Dependiente</v>
      </c>
      <c r="F41" s="4" t="str">
        <f>+Q40</f>
        <v>EF3</v>
      </c>
      <c r="G41" s="4"/>
      <c r="H41" s="4"/>
      <c r="I41" s="4"/>
      <c r="J41" s="4"/>
      <c r="N41" s="4" t="s">
        <v>672</v>
      </c>
      <c r="Q41" s="4" t="s">
        <v>671</v>
      </c>
    </row>
    <row r="42" spans="2:17" x14ac:dyDescent="0.25">
      <c r="C42" s="4" t="s">
        <v>388</v>
      </c>
      <c r="D42" s="4" t="str">
        <f>+CalculosFoda!AF42</f>
        <v>Estado y tecnología de la maquinaria</v>
      </c>
      <c r="E42" s="4" t="str">
        <f t="shared" si="2"/>
        <v>Dependiente</v>
      </c>
      <c r="F42" s="4" t="str">
        <f>+Q25</f>
        <v>ED1</v>
      </c>
      <c r="G42" s="4" t="str">
        <f>+Q14</f>
        <v>EB5</v>
      </c>
      <c r="H42" s="4"/>
      <c r="I42" s="4"/>
      <c r="J42" s="4"/>
      <c r="N42" s="4" t="s">
        <v>676</v>
      </c>
      <c r="Q42" s="4" t="s">
        <v>675</v>
      </c>
    </row>
    <row r="43" spans="2:17" x14ac:dyDescent="0.25">
      <c r="C43" s="4" t="s">
        <v>392</v>
      </c>
      <c r="D43" s="4" t="str">
        <f>+CalculosFoda!AF43</f>
        <v>Personal calificado</v>
      </c>
      <c r="E43" s="4" t="str">
        <f t="shared" si="2"/>
        <v>Dependiente</v>
      </c>
      <c r="F43" s="4" t="str">
        <f>+Q22</f>
        <v>EC4</v>
      </c>
      <c r="G43" s="4"/>
      <c r="H43" s="4"/>
      <c r="I43" s="4"/>
      <c r="J43" s="4"/>
      <c r="N43" s="4" t="s">
        <v>680</v>
      </c>
      <c r="Q43" s="4" t="s">
        <v>679</v>
      </c>
    </row>
    <row r="44" spans="2:17" x14ac:dyDescent="0.25">
      <c r="C44" s="4" t="s">
        <v>396</v>
      </c>
      <c r="D44" s="4" t="str">
        <f>+CalculosFoda!AF44</f>
        <v>Formación continua y capacitación en comercio exterior</v>
      </c>
      <c r="E44" s="4" t="str">
        <f t="shared" si="2"/>
        <v>Dependiente</v>
      </c>
      <c r="F44" s="4" t="str">
        <f>+Q22</f>
        <v>EC4</v>
      </c>
      <c r="G44" s="4" t="str">
        <f>+Q7</f>
        <v>EA5</v>
      </c>
      <c r="H44" s="4"/>
      <c r="I44" s="4"/>
      <c r="J44" s="4"/>
    </row>
    <row r="45" spans="2:17" x14ac:dyDescent="0.25">
      <c r="C45" s="4" t="s">
        <v>400</v>
      </c>
      <c r="D45" s="4" t="str">
        <f>+CalculosFoda!AF45</f>
        <v>Capital de trabajo y capacidad financiera</v>
      </c>
      <c r="E45" s="4" t="str">
        <f t="shared" si="2"/>
        <v>Dependiente</v>
      </c>
      <c r="F45" s="4" t="str">
        <f>+Q14</f>
        <v>EB5</v>
      </c>
      <c r="G45" s="4" t="str">
        <f>+Q15</f>
        <v>EB6</v>
      </c>
      <c r="H45" s="4"/>
      <c r="I45" s="4"/>
      <c r="J45" s="4"/>
      <c r="N45" s="4" t="s">
        <v>684</v>
      </c>
      <c r="P45" s="12" t="s">
        <v>225</v>
      </c>
      <c r="Q45" s="4" t="s">
        <v>683</v>
      </c>
    </row>
    <row r="46" spans="2:17" x14ac:dyDescent="0.25">
      <c r="C46" s="4" t="s">
        <v>404</v>
      </c>
      <c r="D46" s="4" t="str">
        <f>+CalculosFoda!AF46</f>
        <v>Sistemas de información y gestión</v>
      </c>
      <c r="E46" s="4" t="str">
        <f t="shared" si="2"/>
        <v>Dependiente</v>
      </c>
      <c r="F46" s="4" t="str">
        <f>+Q27</f>
        <v>ED3</v>
      </c>
      <c r="G46" s="4" t="str">
        <f>+Q28</f>
        <v>ED4</v>
      </c>
      <c r="H46" s="4"/>
      <c r="I46" s="4"/>
      <c r="J46" s="4"/>
      <c r="N46" s="4" t="s">
        <v>689</v>
      </c>
      <c r="Q46" s="4" t="s">
        <v>688</v>
      </c>
    </row>
    <row r="47" spans="2:17" x14ac:dyDescent="0.25">
      <c r="C47" s="4" t="s">
        <v>408</v>
      </c>
      <c r="D47" s="4" t="str">
        <f>+CalculosFoda!AF47</f>
        <v>Infraestructura, depósitos y conservación</v>
      </c>
      <c r="E47" s="4" t="str">
        <f t="shared" si="2"/>
        <v>Dependiente</v>
      </c>
      <c r="F47" s="4" t="str">
        <f>+Q36</f>
        <v>EE7</v>
      </c>
      <c r="G47" s="4"/>
      <c r="H47" s="4"/>
      <c r="I47" s="4"/>
      <c r="J47" s="4"/>
      <c r="N47" s="4" t="s">
        <v>693</v>
      </c>
      <c r="Q47" s="4" t="s">
        <v>692</v>
      </c>
    </row>
    <row r="48" spans="2:17" x14ac:dyDescent="0.25">
      <c r="C48" s="4" t="s">
        <v>412</v>
      </c>
      <c r="D48" s="4" t="str">
        <f>+CalculosFoda!AF48</f>
        <v>Habilitaciones y registros oficiales</v>
      </c>
      <c r="E48" s="4" t="str">
        <f t="shared" si="2"/>
        <v>Dependiente</v>
      </c>
      <c r="F48" s="4" t="str">
        <f>+Q54</f>
        <v>EI2</v>
      </c>
      <c r="G48" s="4" t="str">
        <f>+Q6</f>
        <v>EA4</v>
      </c>
      <c r="H48" s="4"/>
      <c r="I48" s="4"/>
      <c r="J48" s="4"/>
      <c r="N48" s="4" t="s">
        <v>697</v>
      </c>
      <c r="Q48" s="4" t="s">
        <v>696</v>
      </c>
    </row>
    <row r="50" spans="2:17" x14ac:dyDescent="0.25">
      <c r="N50" s="4" t="s">
        <v>701</v>
      </c>
      <c r="P50" s="12" t="s">
        <v>230</v>
      </c>
      <c r="Q50" s="4" t="s">
        <v>700</v>
      </c>
    </row>
    <row r="51" spans="2:17" x14ac:dyDescent="0.25">
      <c r="B51" s="12" t="str">
        <f>+FormularioFODA!B54</f>
        <v>Actividades Clave</v>
      </c>
      <c r="C51" s="4" t="s">
        <v>416</v>
      </c>
      <c r="D51" s="4" t="str">
        <f>+CalculosFoda!AF51</f>
        <v>Descripción técnica y estandarización</v>
      </c>
      <c r="E51" s="4" t="str">
        <f t="shared" ref="E51:E59" si="3">IF(COUNTA(F51:J51)&gt;0,"Dependiente","Independiente")</f>
        <v>Independiente</v>
      </c>
      <c r="F51" s="4"/>
      <c r="G51" s="4"/>
      <c r="H51" s="4"/>
      <c r="I51" s="4"/>
      <c r="J51" s="4"/>
      <c r="N51" s="4" t="s">
        <v>706</v>
      </c>
      <c r="Q51" s="4" t="s">
        <v>705</v>
      </c>
    </row>
    <row r="52" spans="2:17" x14ac:dyDescent="0.25">
      <c r="C52" s="4" t="s">
        <v>421</v>
      </c>
      <c r="D52" s="4" t="str">
        <f>+CalculosFoda!AF52</f>
        <v>Mantenimiento y continuidad operativa</v>
      </c>
      <c r="E52" s="4" t="str">
        <f t="shared" si="3"/>
        <v>Dependiente</v>
      </c>
      <c r="F52" s="4" t="str">
        <f>+Q36</f>
        <v>EE7</v>
      </c>
      <c r="G52" s="4" t="str">
        <f>+Q25</f>
        <v>ED1</v>
      </c>
      <c r="H52" s="4"/>
      <c r="I52" s="4"/>
      <c r="J52" s="4"/>
    </row>
    <row r="53" spans="2:17" x14ac:dyDescent="0.25">
      <c r="C53" s="4" t="s">
        <v>425</v>
      </c>
      <c r="D53" s="4" t="str">
        <f>+CalculosFoda!AF53</f>
        <v>Planificación de producción y abastecimiento</v>
      </c>
      <c r="E53" s="4" t="str">
        <f t="shared" si="3"/>
        <v>Dependiente</v>
      </c>
      <c r="F53" s="4" t="str">
        <f>+Q45</f>
        <v>EG1</v>
      </c>
      <c r="G53" s="4" t="str">
        <f>+Q48</f>
        <v>EG4</v>
      </c>
      <c r="H53" s="4"/>
      <c r="I53" s="4"/>
      <c r="J53" s="4"/>
      <c r="N53" s="4" t="s">
        <v>710</v>
      </c>
      <c r="P53" s="12" t="s">
        <v>233</v>
      </c>
      <c r="Q53" s="4" t="s">
        <v>709</v>
      </c>
    </row>
    <row r="54" spans="2:17" x14ac:dyDescent="0.25">
      <c r="C54" s="4" t="s">
        <v>429</v>
      </c>
      <c r="D54" s="4" t="str">
        <f>+CalculosFoda!AF54</f>
        <v>Gestión de calidad</v>
      </c>
      <c r="E54" s="4" t="str">
        <f t="shared" si="3"/>
        <v>Dependiente</v>
      </c>
      <c r="F54" s="4" t="str">
        <f>+Q55</f>
        <v>EI3</v>
      </c>
      <c r="G54" s="4" t="str">
        <f>+Q54</f>
        <v>EI2</v>
      </c>
      <c r="H54" s="4"/>
      <c r="I54" s="4"/>
      <c r="J54" s="4"/>
      <c r="N54" s="4" t="s">
        <v>715</v>
      </c>
      <c r="Q54" s="4" t="s">
        <v>714</v>
      </c>
    </row>
    <row r="55" spans="2:17" x14ac:dyDescent="0.25">
      <c r="C55" s="4" t="s">
        <v>433</v>
      </c>
      <c r="D55" s="4" t="str">
        <f>+CalculosFoda!AF55</f>
        <v>Trazabilidad y control de stock</v>
      </c>
      <c r="E55" s="4" t="str">
        <f t="shared" si="3"/>
        <v>Dependiente</v>
      </c>
      <c r="F55" s="4" t="str">
        <f>+Q28</f>
        <v>ED4</v>
      </c>
      <c r="G55" s="4"/>
      <c r="H55" s="4"/>
      <c r="I55" s="4"/>
      <c r="J55" s="4"/>
      <c r="N55" s="4" t="s">
        <v>719</v>
      </c>
      <c r="Q55" s="4" t="s">
        <v>718</v>
      </c>
    </row>
    <row r="56" spans="2:17" x14ac:dyDescent="0.25">
      <c r="C56" s="4" t="s">
        <v>437</v>
      </c>
      <c r="D56" s="4" t="str">
        <f>+CalculosFoda!AF56</f>
        <v>Cumplimiento de plazos de entrega</v>
      </c>
      <c r="E56" s="4" t="str">
        <f t="shared" si="3"/>
        <v>Dependiente</v>
      </c>
      <c r="F56" s="4" t="str">
        <f>+Q31</f>
        <v>EE2</v>
      </c>
      <c r="G56" s="4" t="str">
        <f>+Q33</f>
        <v>EE4</v>
      </c>
      <c r="H56" s="4"/>
      <c r="I56" s="4"/>
      <c r="J56" s="4"/>
      <c r="N56" s="4" t="s">
        <v>723</v>
      </c>
      <c r="Q56" s="4" t="s">
        <v>722</v>
      </c>
    </row>
    <row r="57" spans="2:17" x14ac:dyDescent="0.25">
      <c r="C57" s="4" t="s">
        <v>441</v>
      </c>
      <c r="D57" s="4" t="str">
        <f>+CalculosFoda!AF57</f>
        <v>Mejora de procesos e I+D</v>
      </c>
      <c r="E57" s="4" t="str">
        <f t="shared" si="3"/>
        <v>Dependiente</v>
      </c>
      <c r="F57" s="4" t="str">
        <f>+Q25</f>
        <v>ED1</v>
      </c>
      <c r="G57" s="4"/>
      <c r="H57" s="4"/>
      <c r="I57" s="4"/>
      <c r="J57" s="4"/>
    </row>
    <row r="58" spans="2:17" x14ac:dyDescent="0.25">
      <c r="C58" s="4" t="s">
        <v>445</v>
      </c>
      <c r="D58" s="4" t="str">
        <f>+CalculosFoda!AF58</f>
        <v>Gestión ambiental y de residuos</v>
      </c>
      <c r="E58" s="4" t="str">
        <f t="shared" si="3"/>
        <v>Dependiente</v>
      </c>
      <c r="F58" s="4" t="str">
        <f>+Q53</f>
        <v>EI1</v>
      </c>
      <c r="G58" s="4"/>
      <c r="H58" s="4"/>
      <c r="I58" s="4"/>
      <c r="J58" s="4"/>
    </row>
    <row r="59" spans="2:17" x14ac:dyDescent="0.25">
      <c r="C59" s="4" t="s">
        <v>449</v>
      </c>
      <c r="D59" s="4" t="str">
        <f>+CalculosFoda!AF59</f>
        <v>Seguridad e higiene laboral</v>
      </c>
      <c r="E59" s="4" t="str">
        <f t="shared" si="3"/>
        <v>Independiente</v>
      </c>
      <c r="F59" s="4"/>
      <c r="G59" s="4"/>
      <c r="H59" s="4"/>
      <c r="I59" s="4"/>
      <c r="J59" s="4"/>
    </row>
    <row r="62" spans="2:17" x14ac:dyDescent="0.25">
      <c r="B62" s="12" t="str">
        <f>+FormularioFODA!B65</f>
        <v>Socios Clave</v>
      </c>
      <c r="C62" s="4" t="s">
        <v>453</v>
      </c>
      <c r="D62" s="4" t="str">
        <f>+CalculosFoda!AF62</f>
        <v>Proveedores estratégicos</v>
      </c>
      <c r="E62" s="4" t="str">
        <f t="shared" ref="E62:E67" si="4">IF(COUNTA(F62:J62)&gt;0,"Dependiente","Independiente")</f>
        <v>Dependiente</v>
      </c>
      <c r="F62" s="4" t="str">
        <f>+Q45</f>
        <v>EG1</v>
      </c>
      <c r="G62" s="4" t="str">
        <f>+Q46</f>
        <v>EG2</v>
      </c>
      <c r="H62" s="4" t="str">
        <f>+Q47</f>
        <v>EG3</v>
      </c>
      <c r="I62" s="4"/>
      <c r="J62" s="4"/>
    </row>
    <row r="63" spans="2:17" x14ac:dyDescent="0.25">
      <c r="C63" s="4" t="s">
        <v>458</v>
      </c>
      <c r="D63" s="4" t="str">
        <f>+CalculosFoda!AF63</f>
        <v>Alianzas comerciales</v>
      </c>
      <c r="E63" s="4" t="str">
        <f t="shared" si="4"/>
        <v>Dependiente</v>
      </c>
      <c r="F63" s="4" t="str">
        <f>+Q38</f>
        <v>EF1</v>
      </c>
      <c r="G63" s="4" t="str">
        <f>+Q23</f>
        <v>EC5</v>
      </c>
      <c r="H63" s="4"/>
      <c r="I63" s="4"/>
      <c r="J63" s="4"/>
    </row>
    <row r="64" spans="2:17" x14ac:dyDescent="0.25">
      <c r="C64" s="4" t="s">
        <v>462</v>
      </c>
      <c r="D64" s="4" t="str">
        <f>+CalculosFoda!AF64</f>
        <v>Socios logísticos y aduaneros</v>
      </c>
      <c r="E64" s="4" t="str">
        <f t="shared" si="4"/>
        <v>Dependiente</v>
      </c>
      <c r="F64" s="4" t="str">
        <f>+Q35</f>
        <v>EE6</v>
      </c>
      <c r="G64" s="4" t="str">
        <f>+Q34</f>
        <v>EE5</v>
      </c>
      <c r="H64" s="4"/>
      <c r="I64" s="4"/>
      <c r="J64" s="4"/>
    </row>
    <row r="65" spans="2:10" x14ac:dyDescent="0.25">
      <c r="C65" s="4" t="s">
        <v>466</v>
      </c>
      <c r="D65" s="4" t="str">
        <f>+CalculosFoda!AF65</f>
        <v>Apoyo institucional</v>
      </c>
      <c r="E65" s="4" t="str">
        <f t="shared" si="4"/>
        <v>Dependiente</v>
      </c>
      <c r="F65" s="4" t="str">
        <f>+Q7</f>
        <v>EA5</v>
      </c>
      <c r="G65" s="4" t="str">
        <f>+Q23</f>
        <v>EC5</v>
      </c>
      <c r="H65" s="4"/>
      <c r="I65" s="4"/>
      <c r="J65" s="4"/>
    </row>
    <row r="66" spans="2:10" x14ac:dyDescent="0.25">
      <c r="C66" s="4" t="s">
        <v>470</v>
      </c>
      <c r="D66" s="4" t="str">
        <f>+CalculosFoda!AF66</f>
        <v>Socios financieros y de seguros</v>
      </c>
      <c r="E66" s="4" t="str">
        <f t="shared" si="4"/>
        <v>Dependiente</v>
      </c>
      <c r="F66" s="4" t="str">
        <f>+Q14</f>
        <v>EB5</v>
      </c>
      <c r="G66" s="4"/>
      <c r="H66" s="4"/>
      <c r="I66" s="4"/>
      <c r="J66" s="4"/>
    </row>
    <row r="67" spans="2:10" x14ac:dyDescent="0.25">
      <c r="C67" s="4" t="s">
        <v>474</v>
      </c>
      <c r="D67" s="4" t="str">
        <f>+CalculosFoda!AF67</f>
        <v>Tercerización y subcontratación</v>
      </c>
      <c r="E67" s="4" t="str">
        <f t="shared" si="4"/>
        <v>Dependiente</v>
      </c>
      <c r="F67" s="4" t="str">
        <f>+Q47</f>
        <v>EG3</v>
      </c>
      <c r="G67" s="4"/>
      <c r="H67" s="4"/>
      <c r="I67" s="4"/>
      <c r="J67" s="4"/>
    </row>
    <row r="70" spans="2:10" x14ac:dyDescent="0.25">
      <c r="B70" s="12" t="str">
        <f>+FormularioFODA!B73</f>
        <v>Estructura de Costos</v>
      </c>
      <c r="C70" s="4" t="s">
        <v>478</v>
      </c>
      <c r="D70" s="4" t="str">
        <f>+CalculosFoda!AF70</f>
        <v>Costos fijos</v>
      </c>
      <c r="E70" s="4" t="str">
        <f t="shared" ref="E70:E75" si="5">IF(COUNTA(F70:J70)&gt;0,"Dependiente","Independiente")</f>
        <v>Dependiente</v>
      </c>
      <c r="F70" s="4" t="str">
        <f>+Q13</f>
        <v>EB4</v>
      </c>
      <c r="G70" s="4" t="str">
        <f>+Q36</f>
        <v>EE7</v>
      </c>
      <c r="H70" s="4"/>
      <c r="I70" s="4"/>
      <c r="J70" s="4"/>
    </row>
    <row r="71" spans="2:10" x14ac:dyDescent="0.25">
      <c r="C71" s="4" t="s">
        <v>483</v>
      </c>
      <c r="D71" s="4" t="str">
        <f>+CalculosFoda!AF71</f>
        <v>Punto de equilibrio y escala mínima exportable</v>
      </c>
      <c r="E71" s="4" t="str">
        <f t="shared" si="5"/>
        <v>Dependiente</v>
      </c>
      <c r="F71" s="4" t="str">
        <f>+Q12</f>
        <v>EB3</v>
      </c>
      <c r="G71" s="4"/>
      <c r="H71" s="4"/>
      <c r="I71" s="4"/>
      <c r="J71" s="4"/>
    </row>
    <row r="72" spans="2:10" x14ac:dyDescent="0.25">
      <c r="C72" s="4" t="s">
        <v>487</v>
      </c>
      <c r="D72" s="4" t="str">
        <f>+CalculosFoda!AF72</f>
        <v>Sistema de costos de exportación</v>
      </c>
      <c r="E72" s="4" t="str">
        <f t="shared" si="5"/>
        <v>Dependiente</v>
      </c>
      <c r="F72" s="4" t="str">
        <f>+Q12</f>
        <v>EB3</v>
      </c>
      <c r="G72" s="4" t="str">
        <f>+Q16</f>
        <v>EB7</v>
      </c>
      <c r="H72" s="4"/>
      <c r="I72" s="4"/>
      <c r="J72" s="4"/>
    </row>
    <row r="73" spans="2:10" x14ac:dyDescent="0.25">
      <c r="C73" s="4" t="s">
        <v>491</v>
      </c>
      <c r="D73" s="4" t="str">
        <f>+CalculosFoda!AF73</f>
        <v>Costo de materias primas</v>
      </c>
      <c r="E73" s="4" t="str">
        <f t="shared" si="5"/>
        <v>Dependiente</v>
      </c>
      <c r="F73" s="4" t="str">
        <f>+Q47</f>
        <v>EG3</v>
      </c>
      <c r="G73" s="4" t="str">
        <f>+Q48</f>
        <v>EG4</v>
      </c>
      <c r="H73" s="4" t="str">
        <f>+Q17</f>
        <v>EB8</v>
      </c>
      <c r="I73" s="4"/>
      <c r="J73" s="4"/>
    </row>
    <row r="74" spans="2:10" x14ac:dyDescent="0.25">
      <c r="C74" s="4" t="s">
        <v>495</v>
      </c>
      <c r="D74" s="4" t="str">
        <f>+CalculosFoda!AF74</f>
        <v>Costos logísticos y de comercio exterior</v>
      </c>
      <c r="E74" s="4" t="str">
        <f t="shared" si="5"/>
        <v>Dependiente</v>
      </c>
      <c r="F74" s="4" t="str">
        <f>+Q33</f>
        <v>EE4</v>
      </c>
      <c r="G74" s="4"/>
      <c r="H74" s="4"/>
      <c r="I74" s="4"/>
      <c r="J74" s="4"/>
    </row>
    <row r="75" spans="2:10" x14ac:dyDescent="0.25">
      <c r="C75" s="4" t="s">
        <v>499</v>
      </c>
      <c r="D75" s="4" t="str">
        <f>+CalculosFoda!AF75</f>
        <v>Endeudamiento</v>
      </c>
      <c r="E75" s="4" t="str">
        <f t="shared" si="5"/>
        <v>Dependiente</v>
      </c>
      <c r="F75" s="4" t="str">
        <f>+Q14</f>
        <v>EB5</v>
      </c>
      <c r="G75" s="4"/>
      <c r="H75" s="4"/>
      <c r="I75" s="4"/>
      <c r="J75" s="4"/>
    </row>
    <row r="78" spans="2:10" x14ac:dyDescent="0.25">
      <c r="B78" s="12" t="str">
        <f>+FormularioFODA!B82</f>
        <v>Gestión y Compromiso Exportador</v>
      </c>
      <c r="C78" s="4" t="s">
        <v>503</v>
      </c>
      <c r="D78" s="4" t="str">
        <f>+CalculosFoda!AF78</f>
        <v>Estrategia y objetivos de largo plazo</v>
      </c>
      <c r="E78" s="4" t="str">
        <f t="shared" ref="E78:E84" si="6">IF(COUNTA(F78:J78)&gt;0,"Dependiente","Independiente")</f>
        <v>Dependiente</v>
      </c>
      <c r="F78" s="4" t="str">
        <f>+Q3</f>
        <v>EA1</v>
      </c>
      <c r="G78" s="4"/>
      <c r="H78" s="4"/>
      <c r="I78" s="4"/>
      <c r="J78" s="4"/>
    </row>
    <row r="79" spans="2:10" x14ac:dyDescent="0.25">
      <c r="C79" s="4" t="s">
        <v>508</v>
      </c>
      <c r="D79" s="4" t="str">
        <f>+CalculosFoda!AF79</f>
        <v>Compromiso de la dirección</v>
      </c>
      <c r="E79" s="4" t="str">
        <f t="shared" si="6"/>
        <v>Independiente</v>
      </c>
      <c r="F79" s="4"/>
      <c r="G79" s="4"/>
      <c r="H79" s="4"/>
      <c r="I79" s="4"/>
      <c r="J79" s="4"/>
    </row>
    <row r="80" spans="2:10" x14ac:dyDescent="0.25">
      <c r="C80" s="4" t="s">
        <v>512</v>
      </c>
      <c r="D80" s="4" t="str">
        <f>+CalculosFoda!AF80</f>
        <v>Estructura y responsable de comercio exterior</v>
      </c>
      <c r="E80" s="4" t="str">
        <f t="shared" si="6"/>
        <v>Independiente</v>
      </c>
      <c r="F80" s="4"/>
      <c r="G80" s="4"/>
      <c r="H80" s="4"/>
      <c r="I80" s="4"/>
      <c r="J80" s="4"/>
    </row>
    <row r="81" spans="3:10" x14ac:dyDescent="0.25">
      <c r="C81" s="4" t="s">
        <v>516</v>
      </c>
      <c r="D81" s="4" t="str">
        <f>+CalculosFoda!AF81</f>
        <v>Conocimiento de la competencia internacional</v>
      </c>
      <c r="E81" s="4" t="str">
        <f t="shared" si="6"/>
        <v>Dependiente</v>
      </c>
      <c r="F81" s="4" t="str">
        <f>+Q42</f>
        <v>EF5</v>
      </c>
      <c r="G81" s="4" t="str">
        <f>+Q43</f>
        <v>EF6</v>
      </c>
      <c r="H81" s="4"/>
      <c r="I81" s="4"/>
      <c r="J81" s="4"/>
    </row>
    <row r="82" spans="3:10" x14ac:dyDescent="0.25">
      <c r="C82" s="4" t="s">
        <v>520</v>
      </c>
      <c r="D82" s="4" t="str">
        <f>+CalculosFoda!AF82</f>
        <v>Capacidad de anticipación a los cambios</v>
      </c>
      <c r="E82" s="4" t="str">
        <f t="shared" si="6"/>
        <v>Dependiente</v>
      </c>
      <c r="F82" s="4" t="str">
        <f>+Q3</f>
        <v>EA1</v>
      </c>
      <c r="G82" s="4" t="str">
        <f>+Q12</f>
        <v>EB3</v>
      </c>
      <c r="H82" s="4"/>
      <c r="I82" s="4"/>
      <c r="J82" s="4"/>
    </row>
    <row r="83" spans="3:10" x14ac:dyDescent="0.25">
      <c r="C83" s="4" t="s">
        <v>524</v>
      </c>
      <c r="D83" s="4" t="str">
        <f>+CalculosFoda!AF83</f>
        <v>Cultura empresarial y estilo de dirección</v>
      </c>
      <c r="E83" s="4" t="str">
        <f t="shared" si="6"/>
        <v>Independiente</v>
      </c>
      <c r="F83" s="4"/>
      <c r="G83" s="4"/>
      <c r="H83" s="4"/>
      <c r="I83" s="4"/>
      <c r="J83" s="4"/>
    </row>
    <row r="84" spans="3:10" x14ac:dyDescent="0.25">
      <c r="C84" s="4" t="s">
        <v>528</v>
      </c>
      <c r="D84" s="4" t="str">
        <f>+CalculosFoda!AF84</f>
        <v>Herramientas de planificación y control</v>
      </c>
      <c r="E84" s="4" t="str">
        <f t="shared" si="6"/>
        <v>Independiente</v>
      </c>
      <c r="F84" s="4"/>
      <c r="G84" s="4"/>
      <c r="H84" s="4"/>
      <c r="I84" s="4"/>
      <c r="J84" s="4"/>
    </row>
  </sheetData>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I149"/>
  <sheetViews>
    <sheetView showGridLines="0" zoomScaleNormal="100" workbookViewId="0">
      <pane xSplit="3" ySplit="2" topLeftCell="D3" activePane="bottomRight" state="frozen"/>
      <selection pane="topRight" activeCell="D1" sqref="D1"/>
      <selection pane="bottomLeft" activeCell="A3" sqref="A3"/>
      <selection pane="bottomRight"/>
    </sheetView>
  </sheetViews>
  <sheetFormatPr baseColWidth="10" defaultColWidth="8.7109375" defaultRowHeight="15" x14ac:dyDescent="0.25"/>
  <cols>
    <col min="1" max="1" width="3" customWidth="1"/>
    <col min="2" max="2" width="32.7109375" customWidth="1"/>
    <col min="3" max="3" width="8.85546875" customWidth="1"/>
    <col min="4" max="4" width="3.85546875" customWidth="1"/>
    <col min="5" max="9" width="3.140625" customWidth="1"/>
    <col min="10" max="10" width="7.140625" customWidth="1"/>
    <col min="11" max="14" width="3.140625" customWidth="1"/>
    <col min="15" max="15" width="6.42578125" customWidth="1"/>
    <col min="16" max="16" width="8" customWidth="1"/>
    <col min="17" max="17" width="5.5703125" customWidth="1"/>
    <col min="18" max="18" width="2.140625" customWidth="1"/>
    <col min="19" max="19" width="5.7109375" customWidth="1"/>
    <col min="20" max="20" width="6" customWidth="1"/>
    <col min="21" max="21" width="10.5703125" customWidth="1"/>
    <col min="22" max="22" width="7.42578125" customWidth="1"/>
    <col min="23" max="23" width="6.28515625" customWidth="1"/>
    <col min="24" max="24" width="3.28515625" customWidth="1"/>
    <col min="25" max="25" width="3.5703125" customWidth="1"/>
    <col min="26" max="26" width="3.85546875" customWidth="1"/>
    <col min="27" max="27" width="7" customWidth="1"/>
    <col min="28" max="28" width="9.7109375" customWidth="1"/>
    <col min="29" max="29" width="8" customWidth="1"/>
    <col min="30" max="30" width="7.28515625" customWidth="1"/>
    <col min="31" max="31" width="12" customWidth="1"/>
    <col min="32" max="32" width="46.7109375" customWidth="1"/>
    <col min="33" max="33" width="13.42578125" customWidth="1"/>
    <col min="34" max="34" width="15.5703125" customWidth="1"/>
    <col min="35" max="35" width="12" customWidth="1"/>
  </cols>
  <sheetData>
    <row r="1" spans="1:35" x14ac:dyDescent="0.25">
      <c r="E1" s="84" t="s">
        <v>804</v>
      </c>
      <c r="F1" s="84"/>
      <c r="G1" s="84"/>
      <c r="H1" s="84"/>
      <c r="I1" s="84"/>
      <c r="K1" s="84" t="s">
        <v>805</v>
      </c>
      <c r="L1" s="84"/>
      <c r="M1" s="84"/>
      <c r="N1" s="84"/>
    </row>
    <row r="2" spans="1:35" x14ac:dyDescent="0.25">
      <c r="B2" t="s">
        <v>740</v>
      </c>
      <c r="C2" t="s">
        <v>810</v>
      </c>
      <c r="E2">
        <v>1</v>
      </c>
      <c r="F2">
        <v>2</v>
      </c>
      <c r="G2">
        <v>3</v>
      </c>
      <c r="H2">
        <v>4</v>
      </c>
      <c r="I2">
        <v>5</v>
      </c>
      <c r="J2" t="s">
        <v>811</v>
      </c>
      <c r="K2">
        <v>1</v>
      </c>
      <c r="L2">
        <v>2</v>
      </c>
      <c r="M2">
        <v>3</v>
      </c>
      <c r="N2">
        <v>4</v>
      </c>
      <c r="O2" t="s">
        <v>811</v>
      </c>
      <c r="P2" t="s">
        <v>812</v>
      </c>
      <c r="Q2" t="s">
        <v>813</v>
      </c>
      <c r="S2" t="s">
        <v>838</v>
      </c>
      <c r="T2" t="s">
        <v>839</v>
      </c>
      <c r="U2" t="s">
        <v>840</v>
      </c>
      <c r="V2" t="s">
        <v>841</v>
      </c>
      <c r="X2" t="s">
        <v>842</v>
      </c>
      <c r="Y2" t="s">
        <v>843</v>
      </c>
      <c r="Z2" t="s">
        <v>844</v>
      </c>
      <c r="AA2" t="s">
        <v>845</v>
      </c>
      <c r="AB2" t="s">
        <v>846</v>
      </c>
      <c r="AC2" t="s">
        <v>813</v>
      </c>
      <c r="AD2" t="s">
        <v>811</v>
      </c>
      <c r="AE2" t="s">
        <v>847</v>
      </c>
      <c r="AG2" s="33" t="s">
        <v>848</v>
      </c>
      <c r="AH2" s="33" t="s">
        <v>849</v>
      </c>
      <c r="AI2" s="33" t="s">
        <v>850</v>
      </c>
    </row>
    <row r="3" spans="1:35" x14ac:dyDescent="0.25">
      <c r="A3" s="4"/>
      <c r="B3" s="4" t="str">
        <f>+FormularioFODA!B5</f>
        <v>Segmentos de Clientes</v>
      </c>
      <c r="C3" s="4" t="s">
        <v>247</v>
      </c>
      <c r="D3" s="4">
        <v>1</v>
      </c>
      <c r="E3" s="4">
        <f>+IF(FormularioFODA!D6="x",1,0)*E$2</f>
        <v>0</v>
      </c>
      <c r="F3" s="4">
        <f>+IF(FormularioFODA!E6="x",1,0)*F$2</f>
        <v>0</v>
      </c>
      <c r="G3" s="4">
        <f>+IF(FormularioFODA!F6="x",1,0)*G$2</f>
        <v>0</v>
      </c>
      <c r="H3" s="4">
        <f>+IF(FormularioFODA!G6="x",1,0)*H$2</f>
        <v>4</v>
      </c>
      <c r="I3" s="4">
        <f>+IF(FormularioFODA!H6="x",1,0)*I$2</f>
        <v>0</v>
      </c>
      <c r="J3" s="4">
        <f>SUM(E3:I3)</f>
        <v>4</v>
      </c>
      <c r="K3" s="4">
        <f>+IF(FormularioFODA!J6="x",1,0)*K$2</f>
        <v>0</v>
      </c>
      <c r="L3" s="4">
        <f>+IF(FormularioFODA!K6="x",1,0)*L$2</f>
        <v>0</v>
      </c>
      <c r="M3" s="4">
        <f>+IF(FormularioFODA!L6="x",1,0)*M$2</f>
        <v>3</v>
      </c>
      <c r="N3" s="4">
        <f>+IF(FormularioFODA!M6="x",1,0)*N$2</f>
        <v>0</v>
      </c>
      <c r="O3" s="4">
        <f>SUM(K3:N3)</f>
        <v>3</v>
      </c>
      <c r="P3" s="34">
        <f>IF($O$8=0,0,O3/$O$8)</f>
        <v>0.17647058823529413</v>
      </c>
      <c r="Q3" s="59">
        <f>+(J3/$I$2)*P3</f>
        <v>0.14117647058823532</v>
      </c>
      <c r="R3" s="4"/>
      <c r="S3" s="4">
        <v>5</v>
      </c>
      <c r="T3" s="4">
        <f>+J3</f>
        <v>4</v>
      </c>
      <c r="U3" s="62">
        <f>+P3</f>
        <v>0.17647058823529413</v>
      </c>
      <c r="V3" s="4">
        <f>IF(ISERROR(T3/S3*100-IF(T3/S3&lt;0,100,0)),0,T3/S3*100-IF(T3/S3&lt;0,100,0))</f>
        <v>80</v>
      </c>
      <c r="W3" s="4">
        <f>ABS(V3)-0.001</f>
        <v>79.998999999999995</v>
      </c>
      <c r="X3" s="4">
        <f ca="1">IF(T3=0,0,INDIRECT(ADDRESS(MATCH(W3,Rango!$B$2:$B$101,1)+1,3,1,1,"Rango")))</f>
        <v>5</v>
      </c>
      <c r="Y3" s="4">
        <f ca="1">IF(T3=0,0,INDIRECT(ADDRESS(MATCH(W3,Rango!$B$2:$B$101,1)+2,3,1,1,"Rango")))</f>
        <v>7</v>
      </c>
      <c r="Z3" s="4">
        <f>IF(T3=0,0,VLOOKUP(W3-0.01,Rango!$B$2:$B$101,1))</f>
        <v>60</v>
      </c>
      <c r="AA3" s="4">
        <f ca="1">IF(T3=0,0,INDIRECT(ADDRESS(MATCH(W3,Rango!$B$2:$B$101,1)+2,2,1,1,"Rango")))-Z3</f>
        <v>20</v>
      </c>
      <c r="AB3" s="59">
        <f ca="1">IF(AND(Y3=0,X3&lt;&gt;0),X3,IF(AA3=0,0,X3+((W3-Z3)*(Y3-X3))/AA3))</f>
        <v>6.9998999999999993</v>
      </c>
      <c r="AC3" s="4">
        <f>IF(V3&gt;0,1)+(IF(V3&lt;0,-1))</f>
        <v>1</v>
      </c>
      <c r="AD3" s="63">
        <f ca="1">AB3*AC3</f>
        <v>6.9998999999999993</v>
      </c>
      <c r="AE3" s="59">
        <f ca="1">AD3*U3</f>
        <v>1.2352764705882353</v>
      </c>
      <c r="AF3" s="4" t="s">
        <v>248</v>
      </c>
      <c r="AG3" s="64"/>
      <c r="AH3" s="4" t="s">
        <v>851</v>
      </c>
      <c r="AI3" s="4" t="s">
        <v>852</v>
      </c>
    </row>
    <row r="4" spans="1:35" x14ac:dyDescent="0.25">
      <c r="A4" s="4"/>
      <c r="B4" s="4"/>
      <c r="C4" s="4" t="s">
        <v>253</v>
      </c>
      <c r="D4" s="4">
        <v>2</v>
      </c>
      <c r="E4" s="4">
        <f>+IF(FormularioFODA!D7="x",1,0)*E$2</f>
        <v>0</v>
      </c>
      <c r="F4" s="4">
        <f>+IF(FormularioFODA!E7="x",1,0)*F$2</f>
        <v>0</v>
      </c>
      <c r="G4" s="4">
        <f>+IF(FormularioFODA!F7="x",1,0)*G$2</f>
        <v>0</v>
      </c>
      <c r="H4" s="4">
        <f>+IF(FormularioFODA!G7="x",1,0)*H$2</f>
        <v>4</v>
      </c>
      <c r="I4" s="4">
        <f>+IF(FormularioFODA!H7="x",1,0)*I$2</f>
        <v>0</v>
      </c>
      <c r="J4" s="4">
        <f>SUM(E4:I4)</f>
        <v>4</v>
      </c>
      <c r="K4" s="4">
        <f>+IF(FormularioFODA!J7="x",1,0)*K$2</f>
        <v>0</v>
      </c>
      <c r="L4" s="4">
        <f>+IF(FormularioFODA!K7="x",1,0)*L$2</f>
        <v>0</v>
      </c>
      <c r="M4" s="4">
        <f>+IF(FormularioFODA!L7="x",1,0)*M$2</f>
        <v>0</v>
      </c>
      <c r="N4" s="4">
        <f>+IF(FormularioFODA!M7="x",1,0)*N$2</f>
        <v>4</v>
      </c>
      <c r="O4" s="4">
        <f>SUM(K4:N4)</f>
        <v>4</v>
      </c>
      <c r="P4" s="34">
        <f>IF($O$8=0,0,O4/$O$8)</f>
        <v>0.23529411764705882</v>
      </c>
      <c r="Q4" s="59">
        <f>+(J4/$I$2)*P4</f>
        <v>0.18823529411764706</v>
      </c>
      <c r="R4" s="4"/>
      <c r="S4" s="4">
        <v>5</v>
      </c>
      <c r="T4" s="4">
        <f>+J4</f>
        <v>4</v>
      </c>
      <c r="U4" s="62">
        <f>+P4</f>
        <v>0.23529411764705882</v>
      </c>
      <c r="V4" s="4">
        <f>IF(ISERROR(T4/S4*100-IF(T4/S4&lt;0,100,0)),0,T4/S4*100-IF(T4/S4&lt;0,100,0))</f>
        <v>80</v>
      </c>
      <c r="W4" s="4">
        <f>ABS(V4)-0.001</f>
        <v>79.998999999999995</v>
      </c>
      <c r="X4" s="4">
        <f ca="1">IF(T4=0,0,INDIRECT(ADDRESS(MATCH(W4,Rango!$B$2:$B$101,1)+1,3,1,1,"Rango")))</f>
        <v>5</v>
      </c>
      <c r="Y4" s="4">
        <f ca="1">IF(T4=0,0,INDIRECT(ADDRESS(MATCH(W4,Rango!$B$2:$B$101,1)+2,3,1,1,"Rango")))</f>
        <v>7</v>
      </c>
      <c r="Z4" s="4">
        <f>IF(T4=0,0,VLOOKUP(W4-0.01,Rango!$B$2:$B$101,1))</f>
        <v>60</v>
      </c>
      <c r="AA4" s="4">
        <f ca="1">IF(T4=0,0,INDIRECT(ADDRESS(MATCH(W4,Rango!$B$2:$B$101,1)+2,2,1,1,"Rango")))-Z4</f>
        <v>20</v>
      </c>
      <c r="AB4" s="59">
        <f ca="1">IF(AND(Y4=0,X4&lt;&gt;0),X4,IF(AA4=0,0,X4+((W4-Z4)*(Y4-X4))/AA4))</f>
        <v>6.9998999999999993</v>
      </c>
      <c r="AC4" s="4">
        <f>IF(V4&gt;0,1)+(IF(V4&lt;0,-1))</f>
        <v>1</v>
      </c>
      <c r="AD4" s="63">
        <f ca="1">AB4*AC4</f>
        <v>6.9998999999999993</v>
      </c>
      <c r="AE4" s="59">
        <f ca="1">AD4*U4</f>
        <v>1.6470352941176469</v>
      </c>
      <c r="AF4" s="4" t="s">
        <v>254</v>
      </c>
      <c r="AG4" s="65"/>
      <c r="AH4" s="4" t="s">
        <v>853</v>
      </c>
      <c r="AI4" s="4" t="s">
        <v>854</v>
      </c>
    </row>
    <row r="5" spans="1:35" x14ac:dyDescent="0.25">
      <c r="A5" s="4"/>
      <c r="B5" s="4"/>
      <c r="C5" s="4" t="s">
        <v>258</v>
      </c>
      <c r="D5" s="4">
        <v>3</v>
      </c>
      <c r="E5" s="4">
        <f>+IF(FormularioFODA!D8="x",1,0)*E$2</f>
        <v>0</v>
      </c>
      <c r="F5" s="4">
        <f>+IF(FormularioFODA!E8="x",1,0)*F$2</f>
        <v>0</v>
      </c>
      <c r="G5" s="4">
        <f>+IF(FormularioFODA!F8="x",1,0)*G$2</f>
        <v>0</v>
      </c>
      <c r="H5" s="4">
        <f>+IF(FormularioFODA!G8="x",1,0)*H$2</f>
        <v>4</v>
      </c>
      <c r="I5" s="4">
        <f>+IF(FormularioFODA!H8="x",1,0)*I$2</f>
        <v>0</v>
      </c>
      <c r="J5" s="4">
        <f>SUM(E5:I5)</f>
        <v>4</v>
      </c>
      <c r="K5" s="4">
        <f>+IF(FormularioFODA!J8="x",1,0)*K$2</f>
        <v>0</v>
      </c>
      <c r="L5" s="4">
        <f>+IF(FormularioFODA!K8="x",1,0)*L$2</f>
        <v>0</v>
      </c>
      <c r="M5" s="4">
        <f>+IF(FormularioFODA!L8="x",1,0)*M$2</f>
        <v>3</v>
      </c>
      <c r="N5" s="4">
        <f>+IF(FormularioFODA!M8="x",1,0)*N$2</f>
        <v>0</v>
      </c>
      <c r="O5" s="4">
        <f>SUM(K5:N5)</f>
        <v>3</v>
      </c>
      <c r="P5" s="34">
        <f>IF($O$8=0,0,O5/$O$8)</f>
        <v>0.17647058823529413</v>
      </c>
      <c r="Q5" s="59">
        <f>+(J5/$I$2)*P5</f>
        <v>0.14117647058823532</v>
      </c>
      <c r="R5" s="4"/>
      <c r="S5" s="4">
        <v>5</v>
      </c>
      <c r="T5" s="4">
        <f>+J5</f>
        <v>4</v>
      </c>
      <c r="U5" s="62">
        <f>+P5</f>
        <v>0.17647058823529413</v>
      </c>
      <c r="V5" s="4">
        <f>IF(ISERROR(T5/S5*100-IF(T5/S5&lt;0,100,0)),0,T5/S5*100-IF(T5/S5&lt;0,100,0))</f>
        <v>80</v>
      </c>
      <c r="W5" s="4">
        <f>ABS(V5)-0.001</f>
        <v>79.998999999999995</v>
      </c>
      <c r="X5" s="4">
        <f ca="1">IF(T5=0,0,INDIRECT(ADDRESS(MATCH(W5,Rango!$B$2:$B$101,1)+1,3,1,1,"Rango")))</f>
        <v>5</v>
      </c>
      <c r="Y5" s="4">
        <f ca="1">IF(T5=0,0,INDIRECT(ADDRESS(MATCH(W5,Rango!$B$2:$B$101,1)+2,3,1,1,"Rango")))</f>
        <v>7</v>
      </c>
      <c r="Z5" s="4">
        <f>IF(T5=0,0,VLOOKUP(W5-0.01,Rango!$B$2:$B$101,1))</f>
        <v>60</v>
      </c>
      <c r="AA5" s="4">
        <f ca="1">IF(T5=0,0,INDIRECT(ADDRESS(MATCH(W5,Rango!$B$2:$B$101,1)+2,2,1,1,"Rango")))-Z5</f>
        <v>20</v>
      </c>
      <c r="AB5" s="59">
        <f ca="1">IF(AND(Y5=0,X5&lt;&gt;0),X5,IF(AA5=0,0,X5+((W5-Z5)*(Y5-X5))/AA5))</f>
        <v>6.9998999999999993</v>
      </c>
      <c r="AC5" s="4">
        <f>IF(V5&gt;0,1)+(IF(V5&lt;0,-1))</f>
        <v>1</v>
      </c>
      <c r="AD5" s="63">
        <f ca="1">AB5*AC5</f>
        <v>6.9998999999999993</v>
      </c>
      <c r="AE5" s="59">
        <f ca="1">AD5*U5</f>
        <v>1.2352764705882353</v>
      </c>
      <c r="AF5" s="4" t="s">
        <v>259</v>
      </c>
      <c r="AG5" s="66"/>
      <c r="AH5" s="4" t="s">
        <v>855</v>
      </c>
      <c r="AI5" s="4" t="s">
        <v>856</v>
      </c>
    </row>
    <row r="6" spans="1:35" x14ac:dyDescent="0.25">
      <c r="A6" s="4"/>
      <c r="B6" s="4"/>
      <c r="C6" s="4" t="s">
        <v>263</v>
      </c>
      <c r="D6" s="4">
        <v>4</v>
      </c>
      <c r="E6" s="4">
        <f>+IF(FormularioFODA!D9="x",1,0)*E$2</f>
        <v>0</v>
      </c>
      <c r="F6" s="4">
        <f>+IF(FormularioFODA!E9="x",1,0)*F$2</f>
        <v>0</v>
      </c>
      <c r="G6" s="4">
        <f>+IF(FormularioFODA!F9="x",1,0)*G$2</f>
        <v>3</v>
      </c>
      <c r="H6" s="4">
        <f>+IF(FormularioFODA!G9="x",1,0)*H$2</f>
        <v>0</v>
      </c>
      <c r="I6" s="4">
        <f>+IF(FormularioFODA!H9="x",1,0)*I$2</f>
        <v>0</v>
      </c>
      <c r="J6" s="4">
        <f>SUM(E6:I6)</f>
        <v>3</v>
      </c>
      <c r="K6" s="4">
        <f>+IF(FormularioFODA!J9="x",1,0)*K$2</f>
        <v>0</v>
      </c>
      <c r="L6" s="4">
        <f>+IF(FormularioFODA!K9="x",1,0)*L$2</f>
        <v>0</v>
      </c>
      <c r="M6" s="4">
        <f>+IF(FormularioFODA!L9="x",1,0)*M$2</f>
        <v>3</v>
      </c>
      <c r="N6" s="4">
        <f>+IF(FormularioFODA!M9="x",1,0)*N$2</f>
        <v>0</v>
      </c>
      <c r="O6" s="4">
        <f>SUM(K6:N6)</f>
        <v>3</v>
      </c>
      <c r="P6" s="34">
        <f>IF($O$8=0,0,O6/$O$8)</f>
        <v>0.17647058823529413</v>
      </c>
      <c r="Q6" s="59">
        <f>+(J6/$I$2)*P6</f>
        <v>0.10588235294117647</v>
      </c>
      <c r="R6" s="4"/>
      <c r="S6" s="4">
        <v>5</v>
      </c>
      <c r="T6" s="4">
        <f>+J6</f>
        <v>3</v>
      </c>
      <c r="U6" s="62">
        <f>+P6</f>
        <v>0.17647058823529413</v>
      </c>
      <c r="V6" s="4">
        <f>IF(ISERROR(T6/S6*100-IF(T6/S6&lt;0,100,0)),0,T6/S6*100-IF(T6/S6&lt;0,100,0))</f>
        <v>60</v>
      </c>
      <c r="W6" s="4">
        <f>ABS(V6)-0.001</f>
        <v>59.999000000000002</v>
      </c>
      <c r="X6" s="4">
        <f ca="1">IF(T6=0,0,INDIRECT(ADDRESS(MATCH(W6,Rango!$B$2:$B$101,1)+1,3,1,1,"Rango")))</f>
        <v>3</v>
      </c>
      <c r="Y6" s="4">
        <f ca="1">IF(T6=0,0,INDIRECT(ADDRESS(MATCH(W6,Rango!$B$2:$B$101,1)+2,3,1,1,"Rango")))</f>
        <v>5</v>
      </c>
      <c r="Z6" s="4">
        <f>IF(T6=0,0,VLOOKUP(W6-0.01,Rango!$B$2:$B$101,1))</f>
        <v>40</v>
      </c>
      <c r="AA6" s="4">
        <f ca="1">IF(T6=0,0,INDIRECT(ADDRESS(MATCH(W6,Rango!$B$2:$B$101,1)+2,2,1,1,"Rango")))-Z6</f>
        <v>20</v>
      </c>
      <c r="AB6" s="59">
        <f ca="1">IF(AND(Y6=0,X6&lt;&gt;0),X6,IF(AA6=0,0,X6+((W6-Z6)*(Y6-X6))/AA6))</f>
        <v>4.9999000000000002</v>
      </c>
      <c r="AC6" s="4">
        <f>IF(V6&gt;0,1)+(IF(V6&lt;0,-1))</f>
        <v>1</v>
      </c>
      <c r="AD6" s="63">
        <f ca="1">AB6*AC6</f>
        <v>4.9999000000000002</v>
      </c>
      <c r="AE6" s="59">
        <f ca="1">AD6*U6</f>
        <v>0.88233529411764711</v>
      </c>
      <c r="AF6" s="4" t="s">
        <v>264</v>
      </c>
      <c r="AG6" s="67"/>
      <c r="AH6" s="4" t="s">
        <v>857</v>
      </c>
      <c r="AI6" s="4" t="s">
        <v>858</v>
      </c>
    </row>
    <row r="7" spans="1:35" x14ac:dyDescent="0.25">
      <c r="A7" s="4"/>
      <c r="B7" s="4"/>
      <c r="C7" s="4" t="s">
        <v>268</v>
      </c>
      <c r="D7" s="4">
        <v>5</v>
      </c>
      <c r="E7" s="4">
        <f>+IF(FormularioFODA!D10="x",1,0)*E$2</f>
        <v>0</v>
      </c>
      <c r="F7" s="4">
        <f>+IF(FormularioFODA!E10="x",1,0)*F$2</f>
        <v>0</v>
      </c>
      <c r="G7" s="4">
        <f>+IF(FormularioFODA!F10="x",1,0)*G$2</f>
        <v>3</v>
      </c>
      <c r="H7" s="4">
        <f>+IF(FormularioFODA!G10="x",1,0)*H$2</f>
        <v>0</v>
      </c>
      <c r="I7" s="4">
        <f>+IF(FormularioFODA!H10="x",1,0)*I$2</f>
        <v>0</v>
      </c>
      <c r="J7" s="4">
        <f>SUM(E7:I7)</f>
        <v>3</v>
      </c>
      <c r="K7" s="4">
        <f>+IF(FormularioFODA!J10="x",1,0)*K$2</f>
        <v>0</v>
      </c>
      <c r="L7" s="4">
        <f>+IF(FormularioFODA!K10="x",1,0)*L$2</f>
        <v>0</v>
      </c>
      <c r="M7" s="4">
        <f>+IF(FormularioFODA!L10="x",1,0)*M$2</f>
        <v>0</v>
      </c>
      <c r="N7" s="4">
        <f>+IF(FormularioFODA!M10="x",1,0)*N$2</f>
        <v>4</v>
      </c>
      <c r="O7" s="4">
        <f>SUM(K7:N7)</f>
        <v>4</v>
      </c>
      <c r="P7" s="34">
        <f>IF($O$8=0,0,O7/$O$8)</f>
        <v>0.23529411764705882</v>
      </c>
      <c r="Q7" s="59">
        <f>+(J7/$I$2)*P7</f>
        <v>0.14117647058823529</v>
      </c>
      <c r="R7" s="4"/>
      <c r="S7" s="4">
        <v>5</v>
      </c>
      <c r="T7" s="4">
        <f>+J7</f>
        <v>3</v>
      </c>
      <c r="U7" s="62">
        <f>+P7</f>
        <v>0.23529411764705882</v>
      </c>
      <c r="V7" s="4">
        <f>IF(ISERROR(T7/S7*100-IF(T7/S7&lt;0,100,0)),0,T7/S7*100-IF(T7/S7&lt;0,100,0))</f>
        <v>60</v>
      </c>
      <c r="W7" s="4">
        <f>ABS(V7)-0.001</f>
        <v>59.999000000000002</v>
      </c>
      <c r="X7" s="4">
        <f ca="1">IF(T7=0,0,INDIRECT(ADDRESS(MATCH(W7,Rango!$B$2:$B$101,1)+1,3,1,1,"Rango")))</f>
        <v>3</v>
      </c>
      <c r="Y7" s="4">
        <f ca="1">IF(T7=0,0,INDIRECT(ADDRESS(MATCH(W7,Rango!$B$2:$B$101,1)+2,3,1,1,"Rango")))</f>
        <v>5</v>
      </c>
      <c r="Z7" s="4">
        <f>IF(T7=0,0,VLOOKUP(W7-0.01,Rango!$B$2:$B$101,1))</f>
        <v>40</v>
      </c>
      <c r="AA7" s="4">
        <f ca="1">IF(T7=0,0,INDIRECT(ADDRESS(MATCH(W7,Rango!$B$2:$B$101,1)+2,2,1,1,"Rango")))-Z7</f>
        <v>20</v>
      </c>
      <c r="AB7" s="59">
        <f ca="1">IF(AND(Y7=0,X7&lt;&gt;0),X7,IF(AA7=0,0,X7+((W7-Z7)*(Y7-X7))/AA7))</f>
        <v>4.9999000000000002</v>
      </c>
      <c r="AC7" s="4">
        <f>IF(V7&gt;0,1)+(IF(V7&lt;0,-1))</f>
        <v>1</v>
      </c>
      <c r="AD7" s="63">
        <f ca="1">AB7*AC7</f>
        <v>4.9999000000000002</v>
      </c>
      <c r="AE7" s="59">
        <f ca="1">AD7*U7</f>
        <v>1.1764470588235294</v>
      </c>
      <c r="AF7" s="4" t="s">
        <v>269</v>
      </c>
      <c r="AG7" s="4"/>
      <c r="AH7" s="4"/>
      <c r="AI7" s="4"/>
    </row>
    <row r="8" spans="1:35" x14ac:dyDescent="0.25">
      <c r="A8" s="4"/>
      <c r="B8" s="12" t="s">
        <v>815</v>
      </c>
      <c r="C8" s="4"/>
      <c r="D8" s="4"/>
      <c r="E8" s="12">
        <f t="shared" ref="E8:Q8" si="0">SUM(E3:E7)</f>
        <v>0</v>
      </c>
      <c r="F8" s="12">
        <f t="shared" si="0"/>
        <v>0</v>
      </c>
      <c r="G8" s="12">
        <f t="shared" si="0"/>
        <v>6</v>
      </c>
      <c r="H8" s="12">
        <f t="shared" si="0"/>
        <v>12</v>
      </c>
      <c r="I8" s="12">
        <f t="shared" si="0"/>
        <v>0</v>
      </c>
      <c r="J8" s="12">
        <f t="shared" si="0"/>
        <v>18</v>
      </c>
      <c r="K8" s="12">
        <f t="shared" si="0"/>
        <v>0</v>
      </c>
      <c r="L8" s="12">
        <f t="shared" si="0"/>
        <v>0</v>
      </c>
      <c r="M8" s="12">
        <f t="shared" si="0"/>
        <v>9</v>
      </c>
      <c r="N8" s="12">
        <f t="shared" si="0"/>
        <v>8</v>
      </c>
      <c r="O8" s="12">
        <f t="shared" si="0"/>
        <v>17</v>
      </c>
      <c r="P8" s="60">
        <f t="shared" si="0"/>
        <v>1</v>
      </c>
      <c r="Q8" s="61">
        <f t="shared" si="0"/>
        <v>0.71764705882352953</v>
      </c>
      <c r="R8" s="4"/>
      <c r="S8" s="4">
        <f>SUM(S3:S7)</f>
        <v>25</v>
      </c>
      <c r="T8" s="4"/>
      <c r="U8" s="62"/>
      <c r="V8" s="4"/>
      <c r="W8" s="4"/>
      <c r="X8" s="4"/>
      <c r="Y8" s="4"/>
      <c r="Z8" s="4"/>
      <c r="AA8" s="4"/>
      <c r="AB8" s="59"/>
      <c r="AC8" s="4"/>
      <c r="AD8" s="63"/>
      <c r="AE8" s="68">
        <f ca="1">SUM(AE3:AE7)</f>
        <v>6.1763705882352946</v>
      </c>
      <c r="AF8" s="4"/>
      <c r="AG8" s="14" t="s">
        <v>859</v>
      </c>
      <c r="AH8" s="4"/>
      <c r="AI8" s="4"/>
    </row>
    <row r="9" spans="1:35" x14ac:dyDescent="0.25">
      <c r="A9" s="4"/>
      <c r="B9" s="4"/>
      <c r="C9" s="4"/>
      <c r="D9" s="4"/>
      <c r="E9" s="4"/>
      <c r="F9" s="4"/>
      <c r="G9" s="4"/>
      <c r="H9" s="4"/>
      <c r="I9" s="4"/>
      <c r="J9" s="4"/>
      <c r="K9" s="4"/>
      <c r="L9" s="4"/>
      <c r="M9" s="4"/>
      <c r="N9" s="4"/>
      <c r="O9" s="4"/>
      <c r="P9" s="34"/>
      <c r="Q9" s="59"/>
      <c r="R9" s="4"/>
      <c r="S9" s="4"/>
      <c r="T9" s="4"/>
      <c r="U9" s="62"/>
      <c r="V9" s="4"/>
      <c r="W9" s="4"/>
      <c r="X9" s="4"/>
      <c r="Y9" s="4"/>
      <c r="Z9" s="4"/>
      <c r="AA9" s="4"/>
      <c r="AB9" s="59"/>
      <c r="AC9" s="4"/>
      <c r="AD9" s="63"/>
      <c r="AE9" s="59"/>
      <c r="AF9" s="4"/>
      <c r="AG9" s="4"/>
      <c r="AH9" s="4"/>
      <c r="AI9" s="4"/>
    </row>
    <row r="10" spans="1:35" x14ac:dyDescent="0.25">
      <c r="A10" s="4"/>
      <c r="B10" s="4" t="str">
        <f>+FormularioFODA!B12</f>
        <v>Propuesta de Valor</v>
      </c>
      <c r="C10" s="4" t="s">
        <v>273</v>
      </c>
      <c r="D10" s="4">
        <v>1</v>
      </c>
      <c r="E10" s="4">
        <f>+IF(FormularioFODA!D13="x",1,0)*E$2</f>
        <v>0</v>
      </c>
      <c r="F10" s="4">
        <f>+IF(FormularioFODA!E13="x",1,0)*F$2</f>
        <v>0</v>
      </c>
      <c r="G10" s="4">
        <f>+IF(FormularioFODA!F13="x",1,0)*G$2</f>
        <v>3</v>
      </c>
      <c r="H10" s="4">
        <f>+IF(FormularioFODA!G13="x",1,0)*H$2</f>
        <v>0</v>
      </c>
      <c r="I10" s="4">
        <f>+IF(FormularioFODA!H13="x",1,0)*I$2</f>
        <v>0</v>
      </c>
      <c r="J10" s="4">
        <f t="shared" ref="J10:J16" si="1">SUM(E10:I10)</f>
        <v>3</v>
      </c>
      <c r="K10" s="4">
        <f>+IF(FormularioFODA!J13="x",1,0)*K$2</f>
        <v>0</v>
      </c>
      <c r="L10" s="4">
        <f>+IF(FormularioFODA!K13="x",1,0)*L$2</f>
        <v>0</v>
      </c>
      <c r="M10" s="4">
        <f>+IF(FormularioFODA!L13="x",1,0)*M$2</f>
        <v>0</v>
      </c>
      <c r="N10" s="4">
        <f>+IF(FormularioFODA!M13="x",1,0)*N$2</f>
        <v>4</v>
      </c>
      <c r="O10" s="4">
        <f t="shared" ref="O10:O16" si="2">SUM(K10:N10)</f>
        <v>4</v>
      </c>
      <c r="P10" s="34">
        <f t="shared" ref="P10:P16" si="3">IF($O$17=0,0,O10/$O$17)</f>
        <v>0.17391304347826086</v>
      </c>
      <c r="Q10" s="59">
        <f t="shared" ref="Q10:Q16" si="4">+(J10/$I$2)*P10</f>
        <v>0.10434782608695652</v>
      </c>
      <c r="R10" s="4"/>
      <c r="S10" s="4">
        <v>5</v>
      </c>
      <c r="T10" s="4">
        <f t="shared" ref="T10:T16" si="5">+J10</f>
        <v>3</v>
      </c>
      <c r="U10" s="62">
        <f t="shared" ref="U10:U16" si="6">+P10</f>
        <v>0.17391304347826086</v>
      </c>
      <c r="V10" s="4">
        <f t="shared" ref="V10:V16" si="7">IF(ISERROR(T10/S10*100-IF(T10/S10&lt;0,100,0)),0,T10/S10*100-IF(T10/S10&lt;0,100,0))</f>
        <v>60</v>
      </c>
      <c r="W10" s="4">
        <f t="shared" ref="W10:W16" si="8">ABS(V10)-0.001</f>
        <v>59.999000000000002</v>
      </c>
      <c r="X10" s="4">
        <f ca="1">IF(T10=0,0,INDIRECT(ADDRESS(MATCH(W10,Rango!$B$2:$B$101,1)+1,3,1,1,"Rango")))</f>
        <v>3</v>
      </c>
      <c r="Y10" s="4">
        <f ca="1">IF(T10=0,0,INDIRECT(ADDRESS(MATCH(W10,Rango!$B$2:$B$101,1)+2,3,1,1,"Rango")))</f>
        <v>5</v>
      </c>
      <c r="Z10" s="4">
        <f>IF(T10=0,0,VLOOKUP(W10-0.01,Rango!$B$2:$B$101,1))</f>
        <v>40</v>
      </c>
      <c r="AA10" s="4">
        <f ca="1">IF(T10=0,0,INDIRECT(ADDRESS(MATCH(W10,Rango!$B$2:$B$101,1)+2,2,1,1,"Rango")))-Z10</f>
        <v>20</v>
      </c>
      <c r="AB10" s="59">
        <f t="shared" ref="AB10:AB16" ca="1" si="9">IF(AND(Y10=0,X10&lt;&gt;0),X10,IF(AA10=0,0,X10+((W10-Z10)*(Y10-X10))/AA10))</f>
        <v>4.9999000000000002</v>
      </c>
      <c r="AC10" s="4">
        <f t="shared" ref="AC10:AC16" si="10">IF(V10&gt;0,1)+(IF(V10&lt;0,-1))</f>
        <v>1</v>
      </c>
      <c r="AD10" s="63">
        <f t="shared" ref="AD10:AD16" ca="1" si="11">AB10*AC10</f>
        <v>4.9999000000000002</v>
      </c>
      <c r="AE10" s="59">
        <f t="shared" ref="AE10:AE16" ca="1" si="12">AD10*U10</f>
        <v>0.86954782608695658</v>
      </c>
      <c r="AF10" s="4" t="s">
        <v>274</v>
      </c>
      <c r="AG10" s="4"/>
      <c r="AH10" s="4"/>
      <c r="AI10" s="4"/>
    </row>
    <row r="11" spans="1:35" x14ac:dyDescent="0.25">
      <c r="A11" s="4"/>
      <c r="B11" s="4"/>
      <c r="C11" s="4" t="s">
        <v>279</v>
      </c>
      <c r="D11" s="4">
        <v>2</v>
      </c>
      <c r="E11" s="4">
        <f>+IF(FormularioFODA!D14="x",1,0)*E$2</f>
        <v>0</v>
      </c>
      <c r="F11" s="4">
        <f>+IF(FormularioFODA!E14="x",1,0)*F$2</f>
        <v>0</v>
      </c>
      <c r="G11" s="4">
        <f>+IF(FormularioFODA!F14="x",1,0)*G$2</f>
        <v>0</v>
      </c>
      <c r="H11" s="4">
        <f>+IF(FormularioFODA!G14="x",1,0)*H$2</f>
        <v>4</v>
      </c>
      <c r="I11" s="4">
        <f>+IF(FormularioFODA!H14="x",1,0)*I$2</f>
        <v>0</v>
      </c>
      <c r="J11" s="4">
        <f t="shared" si="1"/>
        <v>4</v>
      </c>
      <c r="K11" s="4">
        <f>+IF(FormularioFODA!J14="x",1,0)*K$2</f>
        <v>0</v>
      </c>
      <c r="L11" s="4">
        <f>+IF(FormularioFODA!K14="x",1,0)*L$2</f>
        <v>0</v>
      </c>
      <c r="M11" s="4">
        <f>+IF(FormularioFODA!L14="x",1,0)*M$2</f>
        <v>3</v>
      </c>
      <c r="N11" s="4">
        <f>+IF(FormularioFODA!M14="x",1,0)*N$2</f>
        <v>0</v>
      </c>
      <c r="O11" s="4">
        <f t="shared" si="2"/>
        <v>3</v>
      </c>
      <c r="P11" s="34">
        <f t="shared" si="3"/>
        <v>0.13043478260869565</v>
      </c>
      <c r="Q11" s="59">
        <f t="shared" si="4"/>
        <v>0.10434782608695653</v>
      </c>
      <c r="R11" s="4"/>
      <c r="S11" s="4">
        <v>5</v>
      </c>
      <c r="T11" s="4">
        <f t="shared" si="5"/>
        <v>4</v>
      </c>
      <c r="U11" s="62">
        <f t="shared" si="6"/>
        <v>0.13043478260869565</v>
      </c>
      <c r="V11" s="4">
        <f t="shared" si="7"/>
        <v>80</v>
      </c>
      <c r="W11" s="4">
        <f t="shared" si="8"/>
        <v>79.998999999999995</v>
      </c>
      <c r="X11" s="4">
        <f ca="1">IF(T11=0,0,INDIRECT(ADDRESS(MATCH(W11,Rango!$B$2:$B$101,1)+1,3,1,1,"Rango")))</f>
        <v>5</v>
      </c>
      <c r="Y11" s="4">
        <f ca="1">IF(T11=0,0,INDIRECT(ADDRESS(MATCH(W11,Rango!$B$2:$B$101,1)+2,3,1,1,"Rango")))</f>
        <v>7</v>
      </c>
      <c r="Z11" s="4">
        <f>IF(T11=0,0,VLOOKUP(W11-0.01,Rango!$B$2:$B$101,1))</f>
        <v>60</v>
      </c>
      <c r="AA11" s="4">
        <f ca="1">IF(T11=0,0,INDIRECT(ADDRESS(MATCH(W11,Rango!$B$2:$B$101,1)+2,2,1,1,"Rango")))-Z11</f>
        <v>20</v>
      </c>
      <c r="AB11" s="59">
        <f t="shared" ca="1" si="9"/>
        <v>6.9998999999999993</v>
      </c>
      <c r="AC11" s="4">
        <f t="shared" si="10"/>
        <v>1</v>
      </c>
      <c r="AD11" s="63">
        <f t="shared" ca="1" si="11"/>
        <v>6.9998999999999993</v>
      </c>
      <c r="AE11" s="59">
        <f t="shared" ca="1" si="12"/>
        <v>0.91303043478260859</v>
      </c>
      <c r="AF11" s="4" t="s">
        <v>280</v>
      </c>
      <c r="AG11" s="4"/>
      <c r="AH11" s="4"/>
      <c r="AI11" s="4"/>
    </row>
    <row r="12" spans="1:35" x14ac:dyDescent="0.25">
      <c r="A12" s="4"/>
      <c r="B12" s="4"/>
      <c r="C12" s="4" t="s">
        <v>283</v>
      </c>
      <c r="D12" s="4">
        <v>3</v>
      </c>
      <c r="E12" s="4">
        <f>+IF(FormularioFODA!D15="x",1,0)*E$2</f>
        <v>0</v>
      </c>
      <c r="F12" s="4">
        <f>+IF(FormularioFODA!E15="x",1,0)*F$2</f>
        <v>0</v>
      </c>
      <c r="G12" s="4">
        <f>+IF(FormularioFODA!F15="x",1,0)*G$2</f>
        <v>3</v>
      </c>
      <c r="H12" s="4">
        <f>+IF(FormularioFODA!G15="x",1,0)*H$2</f>
        <v>0</v>
      </c>
      <c r="I12" s="4">
        <f>+IF(FormularioFODA!H15="x",1,0)*I$2</f>
        <v>0</v>
      </c>
      <c r="J12" s="4">
        <f t="shared" si="1"/>
        <v>3</v>
      </c>
      <c r="K12" s="4">
        <f>+IF(FormularioFODA!J15="x",1,0)*K$2</f>
        <v>0</v>
      </c>
      <c r="L12" s="4">
        <f>+IF(FormularioFODA!K15="x",1,0)*L$2</f>
        <v>0</v>
      </c>
      <c r="M12" s="4">
        <f>+IF(FormularioFODA!L15="x",1,0)*M$2</f>
        <v>3</v>
      </c>
      <c r="N12" s="4">
        <f>+IF(FormularioFODA!M15="x",1,0)*N$2</f>
        <v>0</v>
      </c>
      <c r="O12" s="4">
        <f t="shared" si="2"/>
        <v>3</v>
      </c>
      <c r="P12" s="34">
        <f t="shared" si="3"/>
        <v>0.13043478260869565</v>
      </c>
      <c r="Q12" s="59">
        <f t="shared" si="4"/>
        <v>7.8260869565217384E-2</v>
      </c>
      <c r="R12" s="4"/>
      <c r="S12" s="4">
        <v>5</v>
      </c>
      <c r="T12" s="4">
        <f t="shared" si="5"/>
        <v>3</v>
      </c>
      <c r="U12" s="62">
        <f t="shared" si="6"/>
        <v>0.13043478260869565</v>
      </c>
      <c r="V12" s="4">
        <f t="shared" si="7"/>
        <v>60</v>
      </c>
      <c r="W12" s="4">
        <f t="shared" si="8"/>
        <v>59.999000000000002</v>
      </c>
      <c r="X12" s="4">
        <f ca="1">IF(T12=0,0,INDIRECT(ADDRESS(MATCH(W12,Rango!$B$2:$B$101,1)+1,3,1,1,"Rango")))</f>
        <v>3</v>
      </c>
      <c r="Y12" s="4">
        <f ca="1">IF(T12=0,0,INDIRECT(ADDRESS(MATCH(W12,Rango!$B$2:$B$101,1)+2,3,1,1,"Rango")))</f>
        <v>5</v>
      </c>
      <c r="Z12" s="4">
        <f>IF(T12=0,0,VLOOKUP(W12-0.01,Rango!$B$2:$B$101,1))</f>
        <v>40</v>
      </c>
      <c r="AA12" s="4">
        <f ca="1">IF(T12=0,0,INDIRECT(ADDRESS(MATCH(W12,Rango!$B$2:$B$101,1)+2,2,1,1,"Rango")))-Z12</f>
        <v>20</v>
      </c>
      <c r="AB12" s="59">
        <f t="shared" ca="1" si="9"/>
        <v>4.9999000000000002</v>
      </c>
      <c r="AC12" s="4">
        <f t="shared" si="10"/>
        <v>1</v>
      </c>
      <c r="AD12" s="63">
        <f t="shared" ca="1" si="11"/>
        <v>4.9999000000000002</v>
      </c>
      <c r="AE12" s="59">
        <f t="shared" ca="1" si="12"/>
        <v>0.65216086956521735</v>
      </c>
      <c r="AF12" s="4" t="s">
        <v>284</v>
      </c>
      <c r="AG12" s="4"/>
      <c r="AH12" s="4"/>
      <c r="AI12" s="4"/>
    </row>
    <row r="13" spans="1:35" x14ac:dyDescent="0.25">
      <c r="A13" s="4"/>
      <c r="B13" s="4"/>
      <c r="C13" s="4" t="s">
        <v>287</v>
      </c>
      <c r="D13" s="4">
        <v>4</v>
      </c>
      <c r="E13" s="4">
        <f>+IF(FormularioFODA!D16="x",1,0)*E$2</f>
        <v>0</v>
      </c>
      <c r="F13" s="4">
        <f>+IF(FormularioFODA!E16="x",1,0)*F$2</f>
        <v>0</v>
      </c>
      <c r="G13" s="4">
        <f>+IF(FormularioFODA!F16="x",1,0)*G$2</f>
        <v>0</v>
      </c>
      <c r="H13" s="4">
        <f>+IF(FormularioFODA!G16="x",1,0)*H$2</f>
        <v>0</v>
      </c>
      <c r="I13" s="4">
        <f>+IF(FormularioFODA!H16="x",1,0)*I$2</f>
        <v>5</v>
      </c>
      <c r="J13" s="4">
        <f t="shared" si="1"/>
        <v>5</v>
      </c>
      <c r="K13" s="4">
        <f>+IF(FormularioFODA!J16="x",1,0)*K$2</f>
        <v>0</v>
      </c>
      <c r="L13" s="4">
        <f>+IF(FormularioFODA!K16="x",1,0)*L$2</f>
        <v>0</v>
      </c>
      <c r="M13" s="4">
        <f>+IF(FormularioFODA!L16="x",1,0)*M$2</f>
        <v>3</v>
      </c>
      <c r="N13" s="4">
        <f>+IF(FormularioFODA!M16="x",1,0)*N$2</f>
        <v>0</v>
      </c>
      <c r="O13" s="4">
        <f t="shared" si="2"/>
        <v>3</v>
      </c>
      <c r="P13" s="34">
        <f t="shared" si="3"/>
        <v>0.13043478260869565</v>
      </c>
      <c r="Q13" s="59">
        <f t="shared" si="4"/>
        <v>0.13043478260869565</v>
      </c>
      <c r="R13" s="4"/>
      <c r="S13" s="4">
        <v>5</v>
      </c>
      <c r="T13" s="4">
        <f t="shared" si="5"/>
        <v>5</v>
      </c>
      <c r="U13" s="62">
        <f t="shared" si="6"/>
        <v>0.13043478260869565</v>
      </c>
      <c r="V13" s="4">
        <f t="shared" si="7"/>
        <v>100</v>
      </c>
      <c r="W13" s="4">
        <f t="shared" si="8"/>
        <v>99.998999999999995</v>
      </c>
      <c r="X13" s="4">
        <f ca="1">IF(T13=0,0,INDIRECT(ADDRESS(MATCH(W13,Rango!$B$2:$B$101,1)+1,3,1,1,"Rango")))</f>
        <v>7</v>
      </c>
      <c r="Y13" s="4">
        <f ca="1">IF(T13=0,0,INDIRECT(ADDRESS(MATCH(W13,Rango!$B$2:$B$101,1)+2,3,1,1,"Rango")))</f>
        <v>10</v>
      </c>
      <c r="Z13" s="4">
        <f>IF(T13=0,0,VLOOKUP(W13-0.01,Rango!$B$2:$B$101,1))</f>
        <v>80</v>
      </c>
      <c r="AA13" s="4">
        <f ca="1">IF(T13=0,0,INDIRECT(ADDRESS(MATCH(W13,Rango!$B$2:$B$101,1)+2,2,1,1,"Rango")))-Z13</f>
        <v>20</v>
      </c>
      <c r="AB13" s="59">
        <f t="shared" ca="1" si="9"/>
        <v>9.9998499999999986</v>
      </c>
      <c r="AC13" s="4">
        <f t="shared" si="10"/>
        <v>1</v>
      </c>
      <c r="AD13" s="63">
        <f t="shared" ca="1" si="11"/>
        <v>9.9998499999999986</v>
      </c>
      <c r="AE13" s="59">
        <f t="shared" ca="1" si="12"/>
        <v>1.304328260869565</v>
      </c>
      <c r="AF13" s="4" t="s">
        <v>288</v>
      </c>
      <c r="AG13" s="4"/>
      <c r="AH13" s="4"/>
      <c r="AI13" s="4"/>
    </row>
    <row r="14" spans="1:35" x14ac:dyDescent="0.25">
      <c r="A14" s="4"/>
      <c r="B14" s="4"/>
      <c r="C14" s="4" t="s">
        <v>291</v>
      </c>
      <c r="D14" s="4">
        <v>5</v>
      </c>
      <c r="E14" s="4">
        <f>+IF(FormularioFODA!D17="x",1,0)*E$2</f>
        <v>0</v>
      </c>
      <c r="F14" s="4">
        <f>+IF(FormularioFODA!E17="x",1,0)*F$2</f>
        <v>0</v>
      </c>
      <c r="G14" s="4">
        <f>+IF(FormularioFODA!F17="x",1,0)*G$2</f>
        <v>0</v>
      </c>
      <c r="H14" s="4">
        <f>+IF(FormularioFODA!G17="x",1,0)*H$2</f>
        <v>0</v>
      </c>
      <c r="I14" s="4">
        <f>+IF(FormularioFODA!H17="x",1,0)*I$2</f>
        <v>5</v>
      </c>
      <c r="J14" s="4">
        <f t="shared" si="1"/>
        <v>5</v>
      </c>
      <c r="K14" s="4">
        <f>+IF(FormularioFODA!J17="x",1,0)*K$2</f>
        <v>0</v>
      </c>
      <c r="L14" s="4">
        <f>+IF(FormularioFODA!K17="x",1,0)*L$2</f>
        <v>0</v>
      </c>
      <c r="M14" s="4">
        <f>+IF(FormularioFODA!L17="x",1,0)*M$2</f>
        <v>0</v>
      </c>
      <c r="N14" s="4">
        <f>+IF(FormularioFODA!M17="x",1,0)*N$2</f>
        <v>4</v>
      </c>
      <c r="O14" s="4">
        <f t="shared" si="2"/>
        <v>4</v>
      </c>
      <c r="P14" s="34">
        <f t="shared" si="3"/>
        <v>0.17391304347826086</v>
      </c>
      <c r="Q14" s="59">
        <f t="shared" si="4"/>
        <v>0.17391304347826086</v>
      </c>
      <c r="R14" s="4"/>
      <c r="S14" s="4">
        <v>5</v>
      </c>
      <c r="T14" s="4">
        <f t="shared" si="5"/>
        <v>5</v>
      </c>
      <c r="U14" s="62">
        <f t="shared" si="6"/>
        <v>0.17391304347826086</v>
      </c>
      <c r="V14" s="4">
        <f t="shared" si="7"/>
        <v>100</v>
      </c>
      <c r="W14" s="4">
        <f t="shared" si="8"/>
        <v>99.998999999999995</v>
      </c>
      <c r="X14" s="4">
        <f ca="1">IF(T14=0,0,INDIRECT(ADDRESS(MATCH(W14,Rango!$B$2:$B$101,1)+1,3,1,1,"Rango")))</f>
        <v>7</v>
      </c>
      <c r="Y14" s="4">
        <f ca="1">IF(T14=0,0,INDIRECT(ADDRESS(MATCH(W14,Rango!$B$2:$B$101,1)+2,3,1,1,"Rango")))</f>
        <v>10</v>
      </c>
      <c r="Z14" s="4">
        <f>IF(T14=0,0,VLOOKUP(W14-0.01,Rango!$B$2:$B$101,1))</f>
        <v>80</v>
      </c>
      <c r="AA14" s="4">
        <f ca="1">IF(T14=0,0,INDIRECT(ADDRESS(MATCH(W14,Rango!$B$2:$B$101,1)+2,2,1,1,"Rango")))-Z14</f>
        <v>20</v>
      </c>
      <c r="AB14" s="59">
        <f t="shared" ca="1" si="9"/>
        <v>9.9998499999999986</v>
      </c>
      <c r="AC14" s="4">
        <f t="shared" si="10"/>
        <v>1</v>
      </c>
      <c r="AD14" s="63">
        <f t="shared" ca="1" si="11"/>
        <v>9.9998499999999986</v>
      </c>
      <c r="AE14" s="59">
        <f t="shared" ca="1" si="12"/>
        <v>1.7391043478260866</v>
      </c>
      <c r="AF14" s="4" t="s">
        <v>292</v>
      </c>
      <c r="AG14" s="4"/>
      <c r="AH14" s="4"/>
      <c r="AI14" s="4"/>
    </row>
    <row r="15" spans="1:35" x14ac:dyDescent="0.25">
      <c r="A15" s="4"/>
      <c r="B15" s="4"/>
      <c r="C15" s="4" t="s">
        <v>295</v>
      </c>
      <c r="D15" s="4">
        <v>6</v>
      </c>
      <c r="E15" s="4">
        <f>+IF(FormularioFODA!D18="x",1,0)*E$2</f>
        <v>0</v>
      </c>
      <c r="F15" s="4">
        <f>+IF(FormularioFODA!E18="x",1,0)*F$2</f>
        <v>0</v>
      </c>
      <c r="G15" s="4">
        <f>+IF(FormularioFODA!F18="x",1,0)*G$2</f>
        <v>3</v>
      </c>
      <c r="H15" s="4">
        <f>+IF(FormularioFODA!G18="x",1,0)*H$2</f>
        <v>0</v>
      </c>
      <c r="I15" s="4">
        <f>+IF(FormularioFODA!H18="x",1,0)*I$2</f>
        <v>0</v>
      </c>
      <c r="J15" s="4">
        <f t="shared" si="1"/>
        <v>3</v>
      </c>
      <c r="K15" s="4">
        <f>+IF(FormularioFODA!J18="x",1,0)*K$2</f>
        <v>0</v>
      </c>
      <c r="L15" s="4">
        <f>+IF(FormularioFODA!K18="x",1,0)*L$2</f>
        <v>0</v>
      </c>
      <c r="M15" s="4">
        <f>+IF(FormularioFODA!L18="x",1,0)*M$2</f>
        <v>3</v>
      </c>
      <c r="N15" s="4">
        <f>+IF(FormularioFODA!M18="x",1,0)*N$2</f>
        <v>0</v>
      </c>
      <c r="O15" s="4">
        <f t="shared" si="2"/>
        <v>3</v>
      </c>
      <c r="P15" s="34">
        <f t="shared" si="3"/>
        <v>0.13043478260869565</v>
      </c>
      <c r="Q15" s="59">
        <f t="shared" si="4"/>
        <v>7.8260869565217384E-2</v>
      </c>
      <c r="R15" s="4"/>
      <c r="S15" s="4">
        <v>5</v>
      </c>
      <c r="T15" s="4">
        <f t="shared" si="5"/>
        <v>3</v>
      </c>
      <c r="U15" s="62">
        <f t="shared" si="6"/>
        <v>0.13043478260869565</v>
      </c>
      <c r="V15" s="4">
        <f t="shared" si="7"/>
        <v>60</v>
      </c>
      <c r="W15" s="4">
        <f t="shared" si="8"/>
        <v>59.999000000000002</v>
      </c>
      <c r="X15" s="4">
        <f ca="1">IF(T15=0,0,INDIRECT(ADDRESS(MATCH(W15,Rango!$B$2:$B$101,1)+1,3,1,1,"Rango")))</f>
        <v>3</v>
      </c>
      <c r="Y15" s="4">
        <f ca="1">IF(T15=0,0,INDIRECT(ADDRESS(MATCH(W15,Rango!$B$2:$B$101,1)+2,3,1,1,"Rango")))</f>
        <v>5</v>
      </c>
      <c r="Z15" s="4">
        <f>IF(T15=0,0,VLOOKUP(W15-0.01,Rango!$B$2:$B$101,1))</f>
        <v>40</v>
      </c>
      <c r="AA15" s="4">
        <f ca="1">IF(T15=0,0,INDIRECT(ADDRESS(MATCH(W15,Rango!$B$2:$B$101,1)+2,2,1,1,"Rango")))-Z15</f>
        <v>20</v>
      </c>
      <c r="AB15" s="59">
        <f t="shared" ca="1" si="9"/>
        <v>4.9999000000000002</v>
      </c>
      <c r="AC15" s="4">
        <f t="shared" si="10"/>
        <v>1</v>
      </c>
      <c r="AD15" s="63">
        <f t="shared" ca="1" si="11"/>
        <v>4.9999000000000002</v>
      </c>
      <c r="AE15" s="59">
        <f t="shared" ca="1" si="12"/>
        <v>0.65216086956521735</v>
      </c>
      <c r="AF15" s="4" t="s">
        <v>296</v>
      </c>
      <c r="AG15" s="4"/>
      <c r="AH15" s="4"/>
      <c r="AI15" s="4"/>
    </row>
    <row r="16" spans="1:35" x14ac:dyDescent="0.25">
      <c r="A16" s="4"/>
      <c r="B16" s="4"/>
      <c r="C16" s="4" t="s">
        <v>299</v>
      </c>
      <c r="D16" s="4">
        <v>7</v>
      </c>
      <c r="E16" s="4">
        <f>+IF(FormularioFODA!D19="x",1,0)*E$2</f>
        <v>0</v>
      </c>
      <c r="F16" s="4">
        <f>+IF(FormularioFODA!E19="x",1,0)*F$2</f>
        <v>2</v>
      </c>
      <c r="G16" s="4">
        <f>+IF(FormularioFODA!F19="x",1,0)*G$2</f>
        <v>0</v>
      </c>
      <c r="H16" s="4">
        <f>+IF(FormularioFODA!G19="x",1,0)*H$2</f>
        <v>0</v>
      </c>
      <c r="I16" s="4">
        <f>+IF(FormularioFODA!H19="x",1,0)*I$2</f>
        <v>0</v>
      </c>
      <c r="J16" s="4">
        <f t="shared" si="1"/>
        <v>2</v>
      </c>
      <c r="K16" s="4">
        <f>+IF(FormularioFODA!J19="x",1,0)*K$2</f>
        <v>0</v>
      </c>
      <c r="L16" s="4">
        <f>+IF(FormularioFODA!K19="x",1,0)*L$2</f>
        <v>0</v>
      </c>
      <c r="M16" s="4">
        <f>+IF(FormularioFODA!L19="x",1,0)*M$2</f>
        <v>3</v>
      </c>
      <c r="N16" s="4">
        <f>+IF(FormularioFODA!M19="x",1,0)*N$2</f>
        <v>0</v>
      </c>
      <c r="O16" s="4">
        <f t="shared" si="2"/>
        <v>3</v>
      </c>
      <c r="P16" s="34">
        <f t="shared" si="3"/>
        <v>0.13043478260869565</v>
      </c>
      <c r="Q16" s="59">
        <f t="shared" si="4"/>
        <v>5.2173913043478265E-2</v>
      </c>
      <c r="R16" s="4"/>
      <c r="S16" s="4">
        <v>5</v>
      </c>
      <c r="T16" s="4">
        <f t="shared" si="5"/>
        <v>2</v>
      </c>
      <c r="U16" s="62">
        <f t="shared" si="6"/>
        <v>0.13043478260869565</v>
      </c>
      <c r="V16" s="4">
        <f t="shared" si="7"/>
        <v>40</v>
      </c>
      <c r="W16" s="4">
        <f t="shared" si="8"/>
        <v>39.999000000000002</v>
      </c>
      <c r="X16" s="4">
        <f ca="1">IF(T16=0,0,INDIRECT(ADDRESS(MATCH(W16,Rango!$B$2:$B$101,1)+1,3,1,1,"Rango")))</f>
        <v>1</v>
      </c>
      <c r="Y16" s="4">
        <f ca="1">IF(T16=0,0,INDIRECT(ADDRESS(MATCH(W16,Rango!$B$2:$B$101,1)+2,3,1,1,"Rango")))</f>
        <v>3</v>
      </c>
      <c r="Z16" s="4">
        <f>IF(T16=0,0,VLOOKUP(W16-0.01,Rango!$B$2:$B$101,1))</f>
        <v>20</v>
      </c>
      <c r="AA16" s="4">
        <f ca="1">IF(T16=0,0,INDIRECT(ADDRESS(MATCH(W16,Rango!$B$2:$B$101,1)+2,2,1,1,"Rango")))-Z16</f>
        <v>20</v>
      </c>
      <c r="AB16" s="59">
        <f t="shared" ca="1" si="9"/>
        <v>2.9999000000000002</v>
      </c>
      <c r="AC16" s="4">
        <f t="shared" si="10"/>
        <v>1</v>
      </c>
      <c r="AD16" s="63">
        <f t="shared" ca="1" si="11"/>
        <v>2.9999000000000002</v>
      </c>
      <c r="AE16" s="59">
        <f t="shared" ca="1" si="12"/>
        <v>0.39129130434782611</v>
      </c>
      <c r="AF16" s="4" t="s">
        <v>300</v>
      </c>
      <c r="AG16" s="4"/>
      <c r="AH16" s="4"/>
      <c r="AI16" s="4"/>
    </row>
    <row r="17" spans="1:35" x14ac:dyDescent="0.25">
      <c r="A17" s="4"/>
      <c r="B17" s="12" t="s">
        <v>816</v>
      </c>
      <c r="C17" s="4"/>
      <c r="D17" s="4"/>
      <c r="E17" s="12">
        <f t="shared" ref="E17:Q17" si="13">SUM(E10:E16)</f>
        <v>0</v>
      </c>
      <c r="F17" s="12">
        <f t="shared" si="13"/>
        <v>2</v>
      </c>
      <c r="G17" s="12">
        <f t="shared" si="13"/>
        <v>9</v>
      </c>
      <c r="H17" s="12">
        <f t="shared" si="13"/>
        <v>4</v>
      </c>
      <c r="I17" s="12">
        <f t="shared" si="13"/>
        <v>10</v>
      </c>
      <c r="J17" s="12">
        <f t="shared" si="13"/>
        <v>25</v>
      </c>
      <c r="K17" s="12">
        <f t="shared" si="13"/>
        <v>0</v>
      </c>
      <c r="L17" s="12">
        <f t="shared" si="13"/>
        <v>0</v>
      </c>
      <c r="M17" s="12">
        <f t="shared" si="13"/>
        <v>15</v>
      </c>
      <c r="N17" s="12">
        <f t="shared" si="13"/>
        <v>8</v>
      </c>
      <c r="O17" s="12">
        <f t="shared" si="13"/>
        <v>23</v>
      </c>
      <c r="P17" s="60">
        <f t="shared" si="13"/>
        <v>1</v>
      </c>
      <c r="Q17" s="61">
        <f t="shared" si="13"/>
        <v>0.72173913043478266</v>
      </c>
      <c r="R17" s="4"/>
      <c r="S17" s="4">
        <f>SUM(S10:S16)</f>
        <v>35</v>
      </c>
      <c r="T17" s="4"/>
      <c r="U17" s="62"/>
      <c r="V17" s="4"/>
      <c r="W17" s="4"/>
      <c r="X17" s="4"/>
      <c r="Y17" s="4"/>
      <c r="Z17" s="4"/>
      <c r="AA17" s="4"/>
      <c r="AB17" s="59"/>
      <c r="AC17" s="4"/>
      <c r="AD17" s="63"/>
      <c r="AE17" s="68">
        <f ca="1">SUM(AE10:AE16)</f>
        <v>6.5216239130434772</v>
      </c>
      <c r="AF17" s="4"/>
      <c r="AG17" s="4"/>
      <c r="AH17" s="4"/>
      <c r="AI17" s="4"/>
    </row>
    <row r="18" spans="1:35" x14ac:dyDescent="0.25">
      <c r="A18" s="4"/>
      <c r="B18" s="4"/>
      <c r="C18" s="4"/>
      <c r="D18" s="4"/>
      <c r="E18" s="4"/>
      <c r="F18" s="4"/>
      <c r="G18" s="4"/>
      <c r="H18" s="4"/>
      <c r="I18" s="4"/>
      <c r="J18" s="4"/>
      <c r="K18" s="4"/>
      <c r="L18" s="4"/>
      <c r="M18" s="4"/>
      <c r="N18" s="4"/>
      <c r="O18" s="4"/>
      <c r="P18" s="34"/>
      <c r="Q18" s="59"/>
      <c r="R18" s="4"/>
      <c r="S18" s="4"/>
      <c r="T18" s="4"/>
      <c r="U18" s="62"/>
      <c r="V18" s="4"/>
      <c r="W18" s="4"/>
      <c r="X18" s="4"/>
      <c r="Y18" s="4"/>
      <c r="Z18" s="4"/>
      <c r="AA18" s="4"/>
      <c r="AB18" s="59"/>
      <c r="AC18" s="4"/>
      <c r="AD18" s="63"/>
      <c r="AE18" s="59"/>
      <c r="AF18" s="4"/>
      <c r="AG18" s="4"/>
      <c r="AH18" s="4"/>
      <c r="AI18" s="4"/>
    </row>
    <row r="19" spans="1:35" x14ac:dyDescent="0.25">
      <c r="A19" s="4"/>
      <c r="B19" s="4" t="str">
        <f>+FormularioFODA!B21</f>
        <v>Canales</v>
      </c>
      <c r="C19" s="4" t="s">
        <v>303</v>
      </c>
      <c r="D19" s="4">
        <v>1</v>
      </c>
      <c r="E19" s="4">
        <f>+IF(FormularioFODA!D22="x",1,0)*E$2</f>
        <v>0</v>
      </c>
      <c r="F19" s="4">
        <f>+IF(FormularioFODA!E22="x",1,0)*F$2</f>
        <v>0</v>
      </c>
      <c r="G19" s="4">
        <f>+IF(FormularioFODA!F22="x",1,0)*G$2</f>
        <v>0</v>
      </c>
      <c r="H19" s="4">
        <f>+IF(FormularioFODA!G22="x",1,0)*H$2</f>
        <v>4</v>
      </c>
      <c r="I19" s="4">
        <f>+IF(FormularioFODA!H22="x",1,0)*I$2</f>
        <v>0</v>
      </c>
      <c r="J19" s="4">
        <f>SUM(E19:I19)</f>
        <v>4</v>
      </c>
      <c r="K19" s="4">
        <f>+IF(FormularioFODA!J22="x",1,0)*K$2</f>
        <v>0</v>
      </c>
      <c r="L19" s="4">
        <f>+IF(FormularioFODA!K22="x",1,0)*L$2</f>
        <v>0</v>
      </c>
      <c r="M19" s="4">
        <f>+IF(FormularioFODA!L22="x",1,0)*M$2</f>
        <v>0</v>
      </c>
      <c r="N19" s="4">
        <f>+IF(FormularioFODA!M22="x",1,0)*N$2</f>
        <v>4</v>
      </c>
      <c r="O19" s="4">
        <f>SUM(K19:N19)</f>
        <v>4</v>
      </c>
      <c r="P19" s="34">
        <f>IF($O$24=0,0,O19/$O$24)</f>
        <v>0.22222222222222221</v>
      </c>
      <c r="Q19" s="59">
        <f>+(J19/$I$2)*P19</f>
        <v>0.17777777777777778</v>
      </c>
      <c r="R19" s="4"/>
      <c r="S19" s="4">
        <v>5</v>
      </c>
      <c r="T19" s="4">
        <f>+J19</f>
        <v>4</v>
      </c>
      <c r="U19" s="62">
        <f>+P19</f>
        <v>0.22222222222222221</v>
      </c>
      <c r="V19" s="4">
        <f>IF(ISERROR(T19/S19*100-IF(T19/S19&lt;0,100,0)),0,T19/S19*100-IF(T19/S19&lt;0,100,0))</f>
        <v>80</v>
      </c>
      <c r="W19" s="4">
        <f>ABS(V19)-0.001</f>
        <v>79.998999999999995</v>
      </c>
      <c r="X19" s="4">
        <f ca="1">IF(T19=0,0,INDIRECT(ADDRESS(MATCH(W19,Rango!$B$2:$B$101,1)+1,3,1,1,"Rango")))</f>
        <v>5</v>
      </c>
      <c r="Y19" s="4">
        <f ca="1">IF(T19=0,0,INDIRECT(ADDRESS(MATCH(W19,Rango!$B$2:$B$101,1)+2,3,1,1,"Rango")))</f>
        <v>7</v>
      </c>
      <c r="Z19" s="4">
        <f>IF(T19=0,0,VLOOKUP(W19-0.01,Rango!$B$2:$B$101,1))</f>
        <v>60</v>
      </c>
      <c r="AA19" s="4">
        <f ca="1">IF(T19=0,0,INDIRECT(ADDRESS(MATCH(W19,Rango!$B$2:$B$101,1)+2,2,1,1,"Rango")))-Z19</f>
        <v>20</v>
      </c>
      <c r="AB19" s="59">
        <f ca="1">IF(AND(Y19=0,X19&lt;&gt;0),X19,IF(AA19=0,0,X19+((W19-Z19)*(Y19-X19))/AA19))</f>
        <v>6.9998999999999993</v>
      </c>
      <c r="AC19" s="4">
        <f>IF(V19&gt;0,1)+(IF(V19&lt;0,-1))</f>
        <v>1</v>
      </c>
      <c r="AD19" s="63">
        <f ca="1">AB19*AC19</f>
        <v>6.9998999999999993</v>
      </c>
      <c r="AE19" s="59">
        <f ca="1">AD19*U19</f>
        <v>1.555533333333333</v>
      </c>
      <c r="AF19" s="4" t="s">
        <v>304</v>
      </c>
      <c r="AG19" s="4"/>
      <c r="AH19" s="4"/>
      <c r="AI19" s="4"/>
    </row>
    <row r="20" spans="1:35" x14ac:dyDescent="0.25">
      <c r="A20" s="4"/>
      <c r="B20" s="4"/>
      <c r="C20" s="4" t="s">
        <v>309</v>
      </c>
      <c r="D20" s="4">
        <v>2</v>
      </c>
      <c r="E20" s="4">
        <f>+IF(FormularioFODA!D23="x",1,0)*E$2</f>
        <v>0</v>
      </c>
      <c r="F20" s="4">
        <f>+IF(FormularioFODA!E23="x",1,0)*F$2</f>
        <v>2</v>
      </c>
      <c r="G20" s="4">
        <f>+IF(FormularioFODA!F23="x",1,0)*G$2</f>
        <v>0</v>
      </c>
      <c r="H20" s="4">
        <f>+IF(FormularioFODA!G23="x",1,0)*H$2</f>
        <v>0</v>
      </c>
      <c r="I20" s="4">
        <f>+IF(FormularioFODA!H23="x",1,0)*I$2</f>
        <v>0</v>
      </c>
      <c r="J20" s="4">
        <f>SUM(E20:I20)</f>
        <v>2</v>
      </c>
      <c r="K20" s="4">
        <f>+IF(FormularioFODA!J23="x",1,0)*K$2</f>
        <v>0</v>
      </c>
      <c r="L20" s="4">
        <f>+IF(FormularioFODA!K23="x",1,0)*L$2</f>
        <v>0</v>
      </c>
      <c r="M20" s="4">
        <f>+IF(FormularioFODA!L23="x",1,0)*M$2</f>
        <v>0</v>
      </c>
      <c r="N20" s="4">
        <f>+IF(FormularioFODA!M23="x",1,0)*N$2</f>
        <v>4</v>
      </c>
      <c r="O20" s="4">
        <f>SUM(K20:N20)</f>
        <v>4</v>
      </c>
      <c r="P20" s="34">
        <f>IF($O$24=0,0,O20/$O$24)</f>
        <v>0.22222222222222221</v>
      </c>
      <c r="Q20" s="59">
        <f>+(J20/$I$2)*P20</f>
        <v>8.8888888888888892E-2</v>
      </c>
      <c r="R20" s="4"/>
      <c r="S20" s="4">
        <v>5</v>
      </c>
      <c r="T20" s="4">
        <f>+J20</f>
        <v>2</v>
      </c>
      <c r="U20" s="62">
        <f>+P20</f>
        <v>0.22222222222222221</v>
      </c>
      <c r="V20" s="4">
        <f>IF(ISERROR(T20/S20*100-IF(T20/S20&lt;0,100,0)),0,T20/S20*100-IF(T20/S20&lt;0,100,0))</f>
        <v>40</v>
      </c>
      <c r="W20" s="4">
        <f>ABS(V20)-0.001</f>
        <v>39.999000000000002</v>
      </c>
      <c r="X20" s="4">
        <f ca="1">IF(T20=0,0,INDIRECT(ADDRESS(MATCH(W20,Rango!$B$2:$B$101,1)+1,3,1,1,"Rango")))</f>
        <v>1</v>
      </c>
      <c r="Y20" s="4">
        <f ca="1">IF(T20=0,0,INDIRECT(ADDRESS(MATCH(W20,Rango!$B$2:$B$101,1)+2,3,1,1,"Rango")))</f>
        <v>3</v>
      </c>
      <c r="Z20" s="4">
        <f>IF(T20=0,0,VLOOKUP(W20-0.01,Rango!$B$2:$B$101,1))</f>
        <v>20</v>
      </c>
      <c r="AA20" s="4">
        <f ca="1">IF(T20=0,0,INDIRECT(ADDRESS(MATCH(W20,Rango!$B$2:$B$101,1)+2,2,1,1,"Rango")))-Z20</f>
        <v>20</v>
      </c>
      <c r="AB20" s="59">
        <f ca="1">IF(AND(Y20=0,X20&lt;&gt;0),X20,IF(AA20=0,0,X20+((W20-Z20)*(Y20-X20))/AA20))</f>
        <v>2.9999000000000002</v>
      </c>
      <c r="AC20" s="4">
        <f>IF(V20&gt;0,1)+(IF(V20&lt;0,-1))</f>
        <v>1</v>
      </c>
      <c r="AD20" s="63">
        <f ca="1">AB20*AC20</f>
        <v>2.9999000000000002</v>
      </c>
      <c r="AE20" s="59">
        <f ca="1">AD20*U20</f>
        <v>0.66664444444444448</v>
      </c>
      <c r="AF20" s="4" t="s">
        <v>310</v>
      </c>
      <c r="AG20" s="4"/>
      <c r="AH20" s="4"/>
      <c r="AI20" s="4"/>
    </row>
    <row r="21" spans="1:35" x14ac:dyDescent="0.25">
      <c r="A21" s="4"/>
      <c r="B21" s="4"/>
      <c r="C21" s="4" t="s">
        <v>314</v>
      </c>
      <c r="D21" s="4">
        <v>3</v>
      </c>
      <c r="E21" s="4">
        <f>+IF(FormularioFODA!D24="x",1,0)*E$2</f>
        <v>0</v>
      </c>
      <c r="F21" s="4">
        <f>+IF(FormularioFODA!E24="x",1,0)*F$2</f>
        <v>2</v>
      </c>
      <c r="G21" s="4">
        <f>+IF(FormularioFODA!F24="x",1,0)*G$2</f>
        <v>0</v>
      </c>
      <c r="H21" s="4">
        <f>+IF(FormularioFODA!G24="x",1,0)*H$2</f>
        <v>0</v>
      </c>
      <c r="I21" s="4">
        <f>+IF(FormularioFODA!H24="x",1,0)*I$2</f>
        <v>0</v>
      </c>
      <c r="J21" s="4">
        <f>SUM(E21:I21)</f>
        <v>2</v>
      </c>
      <c r="K21" s="4">
        <f>+IF(FormularioFODA!J24="x",1,0)*K$2</f>
        <v>0</v>
      </c>
      <c r="L21" s="4">
        <f>+IF(FormularioFODA!K24="x",1,0)*L$2</f>
        <v>0</v>
      </c>
      <c r="M21" s="4">
        <f>+IF(FormularioFODA!L24="x",1,0)*M$2</f>
        <v>3</v>
      </c>
      <c r="N21" s="4">
        <f>+IF(FormularioFODA!M24="x",1,0)*N$2</f>
        <v>0</v>
      </c>
      <c r="O21" s="4">
        <f>SUM(K21:N21)</f>
        <v>3</v>
      </c>
      <c r="P21" s="34">
        <f>IF($O$24=0,0,O21/$O$24)</f>
        <v>0.16666666666666666</v>
      </c>
      <c r="Q21" s="59">
        <f>+(J21/$I$2)*P21</f>
        <v>6.6666666666666666E-2</v>
      </c>
      <c r="R21" s="4"/>
      <c r="S21" s="4">
        <v>5</v>
      </c>
      <c r="T21" s="4">
        <f>+J21</f>
        <v>2</v>
      </c>
      <c r="U21" s="62">
        <f>+P21</f>
        <v>0.16666666666666666</v>
      </c>
      <c r="V21" s="4">
        <f>IF(ISERROR(T21/S21*100-IF(T21/S21&lt;0,100,0)),0,T21/S21*100-IF(T21/S21&lt;0,100,0))</f>
        <v>40</v>
      </c>
      <c r="W21" s="4">
        <f>ABS(V21)-0.001</f>
        <v>39.999000000000002</v>
      </c>
      <c r="X21" s="4">
        <f ca="1">IF(T21=0,0,INDIRECT(ADDRESS(MATCH(W21,Rango!$B$2:$B$101,1)+1,3,1,1,"Rango")))</f>
        <v>1</v>
      </c>
      <c r="Y21" s="4">
        <f ca="1">IF(T21=0,0,INDIRECT(ADDRESS(MATCH(W21,Rango!$B$2:$B$101,1)+2,3,1,1,"Rango")))</f>
        <v>3</v>
      </c>
      <c r="Z21" s="4">
        <f>IF(T21=0,0,VLOOKUP(W21-0.01,Rango!$B$2:$B$101,1))</f>
        <v>20</v>
      </c>
      <c r="AA21" s="4">
        <f ca="1">IF(T21=0,0,INDIRECT(ADDRESS(MATCH(W21,Rango!$B$2:$B$101,1)+2,2,1,1,"Rango")))-Z21</f>
        <v>20</v>
      </c>
      <c r="AB21" s="59">
        <f ca="1">IF(AND(Y21=0,X21&lt;&gt;0),X21,IF(AA21=0,0,X21+((W21-Z21)*(Y21-X21))/AA21))</f>
        <v>2.9999000000000002</v>
      </c>
      <c r="AC21" s="4">
        <f>IF(V21&gt;0,1)+(IF(V21&lt;0,-1))</f>
        <v>1</v>
      </c>
      <c r="AD21" s="63">
        <f ca="1">AB21*AC21</f>
        <v>2.9999000000000002</v>
      </c>
      <c r="AE21" s="59">
        <f ca="1">AD21*U21</f>
        <v>0.49998333333333334</v>
      </c>
      <c r="AF21" s="4" t="s">
        <v>315</v>
      </c>
      <c r="AG21" s="4"/>
      <c r="AH21" s="4"/>
      <c r="AI21" s="4"/>
    </row>
    <row r="22" spans="1:35" x14ac:dyDescent="0.25">
      <c r="A22" s="4"/>
      <c r="B22" s="4"/>
      <c r="C22" s="4" t="s">
        <v>319</v>
      </c>
      <c r="D22" s="4">
        <v>4</v>
      </c>
      <c r="E22" s="4">
        <f>+IF(FormularioFODA!D25="x",1,0)*E$2</f>
        <v>0</v>
      </c>
      <c r="F22" s="4">
        <f>+IF(FormularioFODA!E25="x",1,0)*F$2</f>
        <v>2</v>
      </c>
      <c r="G22" s="4">
        <f>+IF(FormularioFODA!F25="x",1,0)*G$2</f>
        <v>0</v>
      </c>
      <c r="H22" s="4">
        <f>+IF(FormularioFODA!G25="x",1,0)*H$2</f>
        <v>0</v>
      </c>
      <c r="I22" s="4">
        <f>+IF(FormularioFODA!H25="x",1,0)*I$2</f>
        <v>0</v>
      </c>
      <c r="J22" s="4">
        <f>SUM(E22:I22)</f>
        <v>2</v>
      </c>
      <c r="K22" s="4">
        <f>+IF(FormularioFODA!J25="x",1,0)*K$2</f>
        <v>0</v>
      </c>
      <c r="L22" s="4">
        <f>+IF(FormularioFODA!K25="x",1,0)*L$2</f>
        <v>0</v>
      </c>
      <c r="M22" s="4">
        <f>+IF(FormularioFODA!L25="x",1,0)*M$2</f>
        <v>3</v>
      </c>
      <c r="N22" s="4">
        <f>+IF(FormularioFODA!M25="x",1,0)*N$2</f>
        <v>0</v>
      </c>
      <c r="O22" s="4">
        <f>SUM(K22:N22)</f>
        <v>3</v>
      </c>
      <c r="P22" s="34">
        <f>IF($O$24=0,0,O22/$O$24)</f>
        <v>0.16666666666666666</v>
      </c>
      <c r="Q22" s="59">
        <f>+(J22/$I$2)*P22</f>
        <v>6.6666666666666666E-2</v>
      </c>
      <c r="R22" s="4"/>
      <c r="S22" s="4">
        <v>5</v>
      </c>
      <c r="T22" s="4">
        <f>+J22</f>
        <v>2</v>
      </c>
      <c r="U22" s="62">
        <f>+P22</f>
        <v>0.16666666666666666</v>
      </c>
      <c r="V22" s="4">
        <f>IF(ISERROR(T22/S22*100-IF(T22/S22&lt;0,100,0)),0,T22/S22*100-IF(T22/S22&lt;0,100,0))</f>
        <v>40</v>
      </c>
      <c r="W22" s="4">
        <f>ABS(V22)-0.001</f>
        <v>39.999000000000002</v>
      </c>
      <c r="X22" s="4">
        <f ca="1">IF(T22=0,0,INDIRECT(ADDRESS(MATCH(W22,Rango!$B$2:$B$101,1)+1,3,1,1,"Rango")))</f>
        <v>1</v>
      </c>
      <c r="Y22" s="4">
        <f ca="1">IF(T22=0,0,INDIRECT(ADDRESS(MATCH(W22,Rango!$B$2:$B$101,1)+2,3,1,1,"Rango")))</f>
        <v>3</v>
      </c>
      <c r="Z22" s="4">
        <f>IF(T22=0,0,VLOOKUP(W22-0.01,Rango!$B$2:$B$101,1))</f>
        <v>20</v>
      </c>
      <c r="AA22" s="4">
        <f ca="1">IF(T22=0,0,INDIRECT(ADDRESS(MATCH(W22,Rango!$B$2:$B$101,1)+2,2,1,1,"Rango")))-Z22</f>
        <v>20</v>
      </c>
      <c r="AB22" s="59">
        <f ca="1">IF(AND(Y22=0,X22&lt;&gt;0),X22,IF(AA22=0,0,X22+((W22-Z22)*(Y22-X22))/AA22))</f>
        <v>2.9999000000000002</v>
      </c>
      <c r="AC22" s="4">
        <f>IF(V22&gt;0,1)+(IF(V22&lt;0,-1))</f>
        <v>1</v>
      </c>
      <c r="AD22" s="63">
        <f ca="1">AB22*AC22</f>
        <v>2.9999000000000002</v>
      </c>
      <c r="AE22" s="59">
        <f ca="1">AD22*U22</f>
        <v>0.49998333333333334</v>
      </c>
      <c r="AF22" s="4" t="s">
        <v>320</v>
      </c>
      <c r="AG22" s="4"/>
      <c r="AH22" s="4"/>
      <c r="AI22" s="4"/>
    </row>
    <row r="23" spans="1:35" x14ac:dyDescent="0.25">
      <c r="A23" s="4"/>
      <c r="B23" s="4"/>
      <c r="C23" s="4" t="s">
        <v>324</v>
      </c>
      <c r="D23" s="4">
        <v>5</v>
      </c>
      <c r="E23" s="4">
        <f>+IF(FormularioFODA!D26="x",1,0)*E$2</f>
        <v>0</v>
      </c>
      <c r="F23" s="4">
        <f>+IF(FormularioFODA!E26="x",1,0)*F$2</f>
        <v>2</v>
      </c>
      <c r="G23" s="4">
        <f>+IF(FormularioFODA!F26="x",1,0)*G$2</f>
        <v>0</v>
      </c>
      <c r="H23" s="4">
        <f>+IF(FormularioFODA!G26="x",1,0)*H$2</f>
        <v>0</v>
      </c>
      <c r="I23" s="4">
        <f>+IF(FormularioFODA!H26="x",1,0)*I$2</f>
        <v>0</v>
      </c>
      <c r="J23" s="4">
        <f>SUM(E23:I23)</f>
        <v>2</v>
      </c>
      <c r="K23" s="4">
        <f>+IF(FormularioFODA!J26="x",1,0)*K$2</f>
        <v>0</v>
      </c>
      <c r="L23" s="4">
        <f>+IF(FormularioFODA!K26="x",1,0)*L$2</f>
        <v>0</v>
      </c>
      <c r="M23" s="4">
        <f>+IF(FormularioFODA!L26="x",1,0)*M$2</f>
        <v>0</v>
      </c>
      <c r="N23" s="4">
        <f>+IF(FormularioFODA!M26="x",1,0)*N$2</f>
        <v>4</v>
      </c>
      <c r="O23" s="4">
        <f>SUM(K23:N23)</f>
        <v>4</v>
      </c>
      <c r="P23" s="34">
        <f>IF($O$24=0,0,O23/$O$24)</f>
        <v>0.22222222222222221</v>
      </c>
      <c r="Q23" s="59">
        <f>+(J23/$I$2)*P23</f>
        <v>8.8888888888888892E-2</v>
      </c>
      <c r="R23" s="4"/>
      <c r="S23" s="4">
        <v>5</v>
      </c>
      <c r="T23" s="4">
        <f>+J23</f>
        <v>2</v>
      </c>
      <c r="U23" s="62">
        <f>+P23</f>
        <v>0.22222222222222221</v>
      </c>
      <c r="V23" s="4">
        <f>IF(ISERROR(T23/S23*100-IF(T23/S23&lt;0,100,0)),0,T23/S23*100-IF(T23/S23&lt;0,100,0))</f>
        <v>40</v>
      </c>
      <c r="W23" s="4">
        <f>ABS(V23)-0.001</f>
        <v>39.999000000000002</v>
      </c>
      <c r="X23" s="4">
        <f ca="1">IF(T23=0,0,INDIRECT(ADDRESS(MATCH(W23,Rango!$B$2:$B$101,1)+1,3,1,1,"Rango")))</f>
        <v>1</v>
      </c>
      <c r="Y23" s="4">
        <f ca="1">IF(T23=0,0,INDIRECT(ADDRESS(MATCH(W23,Rango!$B$2:$B$101,1)+2,3,1,1,"Rango")))</f>
        <v>3</v>
      </c>
      <c r="Z23" s="4">
        <f>IF(T23=0,0,VLOOKUP(W23-0.01,Rango!$B$2:$B$101,1))</f>
        <v>20</v>
      </c>
      <c r="AA23" s="4">
        <f ca="1">IF(T23=0,0,INDIRECT(ADDRESS(MATCH(W23,Rango!$B$2:$B$101,1)+2,2,1,1,"Rango")))-Z23</f>
        <v>20</v>
      </c>
      <c r="AB23" s="59">
        <f ca="1">IF(AND(Y23=0,X23&lt;&gt;0),X23,IF(AA23=0,0,X23+((W23-Z23)*(Y23-X23))/AA23))</f>
        <v>2.9999000000000002</v>
      </c>
      <c r="AC23" s="4">
        <f>IF(V23&gt;0,1)+(IF(V23&lt;0,-1))</f>
        <v>1</v>
      </c>
      <c r="AD23" s="63">
        <f ca="1">AB23*AC23</f>
        <v>2.9999000000000002</v>
      </c>
      <c r="AE23" s="59">
        <f ca="1">AD23*U23</f>
        <v>0.66664444444444448</v>
      </c>
      <c r="AF23" s="4" t="s">
        <v>325</v>
      </c>
      <c r="AG23" s="4"/>
      <c r="AH23" s="4"/>
      <c r="AI23" s="4"/>
    </row>
    <row r="24" spans="1:35" x14ac:dyDescent="0.25">
      <c r="A24" s="4"/>
      <c r="B24" s="12" t="s">
        <v>817</v>
      </c>
      <c r="C24" s="4"/>
      <c r="D24" s="4"/>
      <c r="E24" s="12">
        <f t="shared" ref="E24:Q24" si="14">SUM(E19:E23)</f>
        <v>0</v>
      </c>
      <c r="F24" s="12">
        <f t="shared" si="14"/>
        <v>8</v>
      </c>
      <c r="G24" s="12">
        <f t="shared" si="14"/>
        <v>0</v>
      </c>
      <c r="H24" s="12">
        <f t="shared" si="14"/>
        <v>4</v>
      </c>
      <c r="I24" s="12">
        <f t="shared" si="14"/>
        <v>0</v>
      </c>
      <c r="J24" s="12">
        <f t="shared" si="14"/>
        <v>12</v>
      </c>
      <c r="K24" s="12">
        <f t="shared" si="14"/>
        <v>0</v>
      </c>
      <c r="L24" s="12">
        <f t="shared" si="14"/>
        <v>0</v>
      </c>
      <c r="M24" s="12">
        <f t="shared" si="14"/>
        <v>6</v>
      </c>
      <c r="N24" s="12">
        <f t="shared" si="14"/>
        <v>12</v>
      </c>
      <c r="O24" s="12">
        <f t="shared" si="14"/>
        <v>18</v>
      </c>
      <c r="P24" s="60">
        <f t="shared" si="14"/>
        <v>0.99999999999999989</v>
      </c>
      <c r="Q24" s="61">
        <f t="shared" si="14"/>
        <v>0.48888888888888887</v>
      </c>
      <c r="R24" s="4"/>
      <c r="S24" s="4">
        <f>SUM(S19:S23)</f>
        <v>25</v>
      </c>
      <c r="T24" s="4"/>
      <c r="U24" s="62"/>
      <c r="V24" s="4"/>
      <c r="W24" s="4"/>
      <c r="X24" s="4"/>
      <c r="Y24" s="4"/>
      <c r="Z24" s="4"/>
      <c r="AA24" s="4"/>
      <c r="AB24" s="59"/>
      <c r="AC24" s="4"/>
      <c r="AD24" s="63"/>
      <c r="AE24" s="68">
        <f ca="1">SUM(AE19:AE23)</f>
        <v>3.8887888888888886</v>
      </c>
      <c r="AF24" s="4"/>
      <c r="AG24" s="4"/>
      <c r="AH24" s="4"/>
      <c r="AI24" s="4"/>
    </row>
    <row r="25" spans="1:35" x14ac:dyDescent="0.25">
      <c r="A25" s="4"/>
      <c r="B25" s="4"/>
      <c r="C25" s="4"/>
      <c r="D25" s="4"/>
      <c r="E25" s="4"/>
      <c r="F25" s="4"/>
      <c r="G25" s="4"/>
      <c r="H25" s="4"/>
      <c r="I25" s="4"/>
      <c r="J25" s="4"/>
      <c r="K25" s="4"/>
      <c r="L25" s="4"/>
      <c r="M25" s="4"/>
      <c r="N25" s="4"/>
      <c r="O25" s="4"/>
      <c r="P25" s="34"/>
      <c r="Q25" s="59"/>
      <c r="R25" s="4"/>
      <c r="S25" s="4"/>
      <c r="T25" s="4"/>
      <c r="U25" s="62"/>
      <c r="V25" s="4"/>
      <c r="W25" s="4"/>
      <c r="X25" s="4"/>
      <c r="Y25" s="4"/>
      <c r="Z25" s="4"/>
      <c r="AA25" s="4"/>
      <c r="AB25" s="59"/>
      <c r="AC25" s="4"/>
      <c r="AD25" s="63"/>
      <c r="AE25" s="59"/>
      <c r="AF25" s="4"/>
      <c r="AG25" s="4"/>
      <c r="AH25" s="4"/>
      <c r="AI25" s="4"/>
    </row>
    <row r="26" spans="1:35" x14ac:dyDescent="0.25">
      <c r="A26" s="4"/>
      <c r="B26" s="4" t="str">
        <f>+FormularioFODA!B28</f>
        <v>Relación con Clientes</v>
      </c>
      <c r="C26" s="4" t="s">
        <v>329</v>
      </c>
      <c r="D26" s="4">
        <v>1</v>
      </c>
      <c r="E26" s="4">
        <f>+IF(FormularioFODA!D29="x",1,0)*E$2</f>
        <v>0</v>
      </c>
      <c r="F26" s="4">
        <f>+IF(FormularioFODA!E29="x",1,0)*F$2</f>
        <v>0</v>
      </c>
      <c r="G26" s="4">
        <f>+IF(FormularioFODA!F29="x",1,0)*G$2</f>
        <v>0</v>
      </c>
      <c r="H26" s="4">
        <f>+IF(FormularioFODA!G29="x",1,0)*H$2</f>
        <v>4</v>
      </c>
      <c r="I26" s="4">
        <f>+IF(FormularioFODA!H29="x",1,0)*I$2</f>
        <v>0</v>
      </c>
      <c r="J26" s="4">
        <f>SUM(E26:I26)</f>
        <v>4</v>
      </c>
      <c r="K26" s="4">
        <f>+IF(FormularioFODA!J29="x",1,0)*K$2</f>
        <v>0</v>
      </c>
      <c r="L26" s="4">
        <f>+IF(FormularioFODA!K29="x",1,0)*L$2</f>
        <v>0</v>
      </c>
      <c r="M26" s="4">
        <f>+IF(FormularioFODA!L29="x",1,0)*M$2</f>
        <v>0</v>
      </c>
      <c r="N26" s="4">
        <f>+IF(FormularioFODA!M29="x",1,0)*N$2</f>
        <v>4</v>
      </c>
      <c r="O26" s="4">
        <f>SUM(K26:N26)</f>
        <v>4</v>
      </c>
      <c r="P26" s="34">
        <f>IF($O$31=0,0,O26/$O$31)</f>
        <v>0.23529411764705882</v>
      </c>
      <c r="Q26" s="59">
        <f>+(J26/$I$2)*P26</f>
        <v>0.18823529411764706</v>
      </c>
      <c r="R26" s="4"/>
      <c r="S26" s="4">
        <v>5</v>
      </c>
      <c r="T26" s="4">
        <f>+J26</f>
        <v>4</v>
      </c>
      <c r="U26" s="62">
        <f>+P26</f>
        <v>0.23529411764705882</v>
      </c>
      <c r="V26" s="4">
        <f>IF(ISERROR(T26/S26*100-IF(T26/S26&lt;0,100,0)),0,T26/S26*100-IF(T26/S26&lt;0,100,0))</f>
        <v>80</v>
      </c>
      <c r="W26" s="4">
        <f>ABS(V26)-0.001</f>
        <v>79.998999999999995</v>
      </c>
      <c r="X26" s="4">
        <f ca="1">IF(T26=0,0,INDIRECT(ADDRESS(MATCH(W26,Rango!$B$2:$B$101,1)+1,3,1,1,"Rango")))</f>
        <v>5</v>
      </c>
      <c r="Y26" s="4">
        <f ca="1">IF(T26=0,0,INDIRECT(ADDRESS(MATCH(W26,Rango!$B$2:$B$101,1)+2,3,1,1,"Rango")))</f>
        <v>7</v>
      </c>
      <c r="Z26" s="4">
        <f>IF(T26=0,0,VLOOKUP(W26-0.01,Rango!$B$2:$B$101,1))</f>
        <v>60</v>
      </c>
      <c r="AA26" s="4">
        <f ca="1">IF(T26=0,0,INDIRECT(ADDRESS(MATCH(W26,Rango!$B$2:$B$101,1)+2,2,1,1,"Rango")))-Z26</f>
        <v>20</v>
      </c>
      <c r="AB26" s="59">
        <f ca="1">IF(AND(Y26=0,X26&lt;&gt;0),X26,IF(AA26=0,0,X26+((W26-Z26)*(Y26-X26))/AA26))</f>
        <v>6.9998999999999993</v>
      </c>
      <c r="AC26" s="4">
        <f>IF(V26&gt;0,1)+(IF(V26&lt;0,-1))</f>
        <v>1</v>
      </c>
      <c r="AD26" s="63">
        <f ca="1">AB26*AC26</f>
        <v>6.9998999999999993</v>
      </c>
      <c r="AE26" s="59">
        <f ca="1">AD26*U26</f>
        <v>1.6470352941176469</v>
      </c>
      <c r="AF26" s="4" t="s">
        <v>330</v>
      </c>
      <c r="AG26" s="4"/>
      <c r="AH26" s="4"/>
      <c r="AI26" s="4"/>
    </row>
    <row r="27" spans="1:35" x14ac:dyDescent="0.25">
      <c r="A27" s="4"/>
      <c r="B27" s="4"/>
      <c r="C27" s="4" t="s">
        <v>335</v>
      </c>
      <c r="D27" s="4">
        <v>2</v>
      </c>
      <c r="E27" s="4">
        <f>+IF(FormularioFODA!D30="x",1,0)*E$2</f>
        <v>0</v>
      </c>
      <c r="F27" s="4">
        <f>+IF(FormularioFODA!E30="x",1,0)*F$2</f>
        <v>0</v>
      </c>
      <c r="G27" s="4">
        <f>+IF(FormularioFODA!F30="x",1,0)*G$2</f>
        <v>3</v>
      </c>
      <c r="H27" s="4">
        <f>+IF(FormularioFODA!G30="x",1,0)*H$2</f>
        <v>0</v>
      </c>
      <c r="I27" s="4">
        <f>+IF(FormularioFODA!H30="x",1,0)*I$2</f>
        <v>0</v>
      </c>
      <c r="J27" s="4">
        <f>SUM(E27:I27)</f>
        <v>3</v>
      </c>
      <c r="K27" s="4">
        <f>+IF(FormularioFODA!J30="x",1,0)*K$2</f>
        <v>0</v>
      </c>
      <c r="L27" s="4">
        <f>+IF(FormularioFODA!K30="x",1,0)*L$2</f>
        <v>0</v>
      </c>
      <c r="M27" s="4">
        <f>+IF(FormularioFODA!L30="x",1,0)*M$2</f>
        <v>0</v>
      </c>
      <c r="N27" s="4">
        <f>+IF(FormularioFODA!M30="x",1,0)*N$2</f>
        <v>4</v>
      </c>
      <c r="O27" s="4">
        <f>SUM(K27:N27)</f>
        <v>4</v>
      </c>
      <c r="P27" s="34">
        <f>IF($O$31=0,0,O27/$O$31)</f>
        <v>0.23529411764705882</v>
      </c>
      <c r="Q27" s="59">
        <f>+(J27/$I$2)*P27</f>
        <v>0.14117647058823529</v>
      </c>
      <c r="R27" s="4"/>
      <c r="S27" s="4">
        <v>5</v>
      </c>
      <c r="T27" s="4">
        <f>+J27</f>
        <v>3</v>
      </c>
      <c r="U27" s="62">
        <f>+P27</f>
        <v>0.23529411764705882</v>
      </c>
      <c r="V27" s="4">
        <f>IF(ISERROR(T27/S27*100-IF(T27/S27&lt;0,100,0)),0,T27/S27*100-IF(T27/S27&lt;0,100,0))</f>
        <v>60</v>
      </c>
      <c r="W27" s="4">
        <f>ABS(V27)-0.001</f>
        <v>59.999000000000002</v>
      </c>
      <c r="X27" s="4">
        <f ca="1">IF(T27=0,0,INDIRECT(ADDRESS(MATCH(W27,Rango!$B$2:$B$101,1)+1,3,1,1,"Rango")))</f>
        <v>3</v>
      </c>
      <c r="Y27" s="4">
        <f ca="1">IF(T27=0,0,INDIRECT(ADDRESS(MATCH(W27,Rango!$B$2:$B$101,1)+2,3,1,1,"Rango")))</f>
        <v>5</v>
      </c>
      <c r="Z27" s="4">
        <f>IF(T27=0,0,VLOOKUP(W27-0.01,Rango!$B$2:$B$101,1))</f>
        <v>40</v>
      </c>
      <c r="AA27" s="4">
        <f ca="1">IF(T27=0,0,INDIRECT(ADDRESS(MATCH(W27,Rango!$B$2:$B$101,1)+2,2,1,1,"Rango")))-Z27</f>
        <v>20</v>
      </c>
      <c r="AB27" s="59">
        <f ca="1">IF(AND(Y27=0,X27&lt;&gt;0),X27,IF(AA27=0,0,X27+((W27-Z27)*(Y27-X27))/AA27))</f>
        <v>4.9999000000000002</v>
      </c>
      <c r="AC27" s="4">
        <f>IF(V27&gt;0,1)+(IF(V27&lt;0,-1))</f>
        <v>1</v>
      </c>
      <c r="AD27" s="63">
        <f ca="1">AB27*AC27</f>
        <v>4.9999000000000002</v>
      </c>
      <c r="AE27" s="59">
        <f ca="1">AD27*U27</f>
        <v>1.1764470588235294</v>
      </c>
      <c r="AF27" s="4" t="s">
        <v>336</v>
      </c>
      <c r="AG27" s="4"/>
      <c r="AH27" s="4"/>
      <c r="AI27" s="4"/>
    </row>
    <row r="28" spans="1:35" x14ac:dyDescent="0.25">
      <c r="A28" s="4"/>
      <c r="B28" s="4"/>
      <c r="C28" s="4" t="s">
        <v>340</v>
      </c>
      <c r="D28" s="4">
        <v>3</v>
      </c>
      <c r="E28" s="4">
        <f>+IF(FormularioFODA!D31="x",1,0)*E$2</f>
        <v>0</v>
      </c>
      <c r="F28" s="4">
        <f>+IF(FormularioFODA!E31="x",1,0)*F$2</f>
        <v>0</v>
      </c>
      <c r="G28" s="4">
        <f>+IF(FormularioFODA!F31="x",1,0)*G$2</f>
        <v>3</v>
      </c>
      <c r="H28" s="4">
        <f>+IF(FormularioFODA!G31="x",1,0)*H$2</f>
        <v>0</v>
      </c>
      <c r="I28" s="4">
        <f>+IF(FormularioFODA!H31="x",1,0)*I$2</f>
        <v>0</v>
      </c>
      <c r="J28" s="4">
        <f>SUM(E28:I28)</f>
        <v>3</v>
      </c>
      <c r="K28" s="4">
        <f>+IF(FormularioFODA!J31="x",1,0)*K$2</f>
        <v>0</v>
      </c>
      <c r="L28" s="4">
        <f>+IF(FormularioFODA!K31="x",1,0)*L$2</f>
        <v>0</v>
      </c>
      <c r="M28" s="4">
        <f>+IF(FormularioFODA!L31="x",1,0)*M$2</f>
        <v>3</v>
      </c>
      <c r="N28" s="4">
        <f>+IF(FormularioFODA!M31="x",1,0)*N$2</f>
        <v>0</v>
      </c>
      <c r="O28" s="4">
        <f>SUM(K28:N28)</f>
        <v>3</v>
      </c>
      <c r="P28" s="34">
        <f>IF($O$31=0,0,O28/$O$31)</f>
        <v>0.17647058823529413</v>
      </c>
      <c r="Q28" s="59">
        <f>+(J28/$I$2)*P28</f>
        <v>0.10588235294117647</v>
      </c>
      <c r="R28" s="4"/>
      <c r="S28" s="4">
        <v>5</v>
      </c>
      <c r="T28" s="4">
        <f>+J28</f>
        <v>3</v>
      </c>
      <c r="U28" s="62">
        <f>+P28</f>
        <v>0.17647058823529413</v>
      </c>
      <c r="V28" s="4">
        <f>IF(ISERROR(T28/S28*100-IF(T28/S28&lt;0,100,0)),0,T28/S28*100-IF(T28/S28&lt;0,100,0))</f>
        <v>60</v>
      </c>
      <c r="W28" s="4">
        <f>ABS(V28)-0.001</f>
        <v>59.999000000000002</v>
      </c>
      <c r="X28" s="4">
        <f ca="1">IF(T28=0,0,INDIRECT(ADDRESS(MATCH(W28,Rango!$B$2:$B$101,1)+1,3,1,1,"Rango")))</f>
        <v>3</v>
      </c>
      <c r="Y28" s="4">
        <f ca="1">IF(T28=0,0,INDIRECT(ADDRESS(MATCH(W28,Rango!$B$2:$B$101,1)+2,3,1,1,"Rango")))</f>
        <v>5</v>
      </c>
      <c r="Z28" s="4">
        <f>IF(T28=0,0,VLOOKUP(W28-0.01,Rango!$B$2:$B$101,1))</f>
        <v>40</v>
      </c>
      <c r="AA28" s="4">
        <f ca="1">IF(T28=0,0,INDIRECT(ADDRESS(MATCH(W28,Rango!$B$2:$B$101,1)+2,2,1,1,"Rango")))-Z28</f>
        <v>20</v>
      </c>
      <c r="AB28" s="59">
        <f ca="1">IF(AND(Y28=0,X28&lt;&gt;0),X28,IF(AA28=0,0,X28+((W28-Z28)*(Y28-X28))/AA28))</f>
        <v>4.9999000000000002</v>
      </c>
      <c r="AC28" s="4">
        <f>IF(V28&gt;0,1)+(IF(V28&lt;0,-1))</f>
        <v>1</v>
      </c>
      <c r="AD28" s="63">
        <f ca="1">AB28*AC28</f>
        <v>4.9999000000000002</v>
      </c>
      <c r="AE28" s="59">
        <f ca="1">AD28*U28</f>
        <v>0.88233529411764711</v>
      </c>
      <c r="AF28" s="4" t="s">
        <v>341</v>
      </c>
      <c r="AG28" s="4"/>
      <c r="AH28" s="4"/>
      <c r="AI28" s="4"/>
    </row>
    <row r="29" spans="1:35" x14ac:dyDescent="0.25">
      <c r="A29" s="4"/>
      <c r="B29" s="4"/>
      <c r="C29" s="4" t="s">
        <v>345</v>
      </c>
      <c r="D29" s="4">
        <v>4</v>
      </c>
      <c r="E29" s="4">
        <f>+IF(FormularioFODA!D32="x",1,0)*E$2</f>
        <v>0</v>
      </c>
      <c r="F29" s="4">
        <f>+IF(FormularioFODA!E32="x",1,0)*F$2</f>
        <v>2</v>
      </c>
      <c r="G29" s="4">
        <f>+IF(FormularioFODA!F32="x",1,0)*G$2</f>
        <v>0</v>
      </c>
      <c r="H29" s="4">
        <f>+IF(FormularioFODA!G32="x",1,0)*H$2</f>
        <v>0</v>
      </c>
      <c r="I29" s="4">
        <f>+IF(FormularioFODA!H32="x",1,0)*I$2</f>
        <v>0</v>
      </c>
      <c r="J29" s="4">
        <f>SUM(E29:I29)</f>
        <v>2</v>
      </c>
      <c r="K29" s="4">
        <f>+IF(FormularioFODA!J32="x",1,0)*K$2</f>
        <v>0</v>
      </c>
      <c r="L29" s="4">
        <f>+IF(FormularioFODA!K32="x",1,0)*L$2</f>
        <v>0</v>
      </c>
      <c r="M29" s="4">
        <f>+IF(FormularioFODA!L32="x",1,0)*M$2</f>
        <v>3</v>
      </c>
      <c r="N29" s="4">
        <f>+IF(FormularioFODA!M32="x",1,0)*N$2</f>
        <v>0</v>
      </c>
      <c r="O29" s="4">
        <f>SUM(K29:N29)</f>
        <v>3</v>
      </c>
      <c r="P29" s="34">
        <f>IF($O$31=0,0,O29/$O$31)</f>
        <v>0.17647058823529413</v>
      </c>
      <c r="Q29" s="59">
        <f>+(J29/$I$2)*P29</f>
        <v>7.058823529411766E-2</v>
      </c>
      <c r="R29" s="4"/>
      <c r="S29" s="4">
        <v>5</v>
      </c>
      <c r="T29" s="4">
        <f>+J29</f>
        <v>2</v>
      </c>
      <c r="U29" s="62">
        <f>+P29</f>
        <v>0.17647058823529413</v>
      </c>
      <c r="V29" s="4">
        <f>IF(ISERROR(T29/S29*100-IF(T29/S29&lt;0,100,0)),0,T29/S29*100-IF(T29/S29&lt;0,100,0))</f>
        <v>40</v>
      </c>
      <c r="W29" s="4">
        <f>ABS(V29)-0.001</f>
        <v>39.999000000000002</v>
      </c>
      <c r="X29" s="4">
        <f ca="1">IF(T29=0,0,INDIRECT(ADDRESS(MATCH(W29,Rango!$B$2:$B$101,1)+1,3,1,1,"Rango")))</f>
        <v>1</v>
      </c>
      <c r="Y29" s="4">
        <f ca="1">IF(T29=0,0,INDIRECT(ADDRESS(MATCH(W29,Rango!$B$2:$B$101,1)+2,3,1,1,"Rango")))</f>
        <v>3</v>
      </c>
      <c r="Z29" s="4">
        <f>IF(T29=0,0,VLOOKUP(W29-0.01,Rango!$B$2:$B$101,1))</f>
        <v>20</v>
      </c>
      <c r="AA29" s="4">
        <f ca="1">IF(T29=0,0,INDIRECT(ADDRESS(MATCH(W29,Rango!$B$2:$B$101,1)+2,2,1,1,"Rango")))-Z29</f>
        <v>20</v>
      </c>
      <c r="AB29" s="59">
        <f ca="1">IF(AND(Y29=0,X29&lt;&gt;0),X29,IF(AA29=0,0,X29+((W29-Z29)*(Y29-X29))/AA29))</f>
        <v>2.9999000000000002</v>
      </c>
      <c r="AC29" s="4">
        <f>IF(V29&gt;0,1)+(IF(V29&lt;0,-1))</f>
        <v>1</v>
      </c>
      <c r="AD29" s="63">
        <f ca="1">AB29*AC29</f>
        <v>2.9999000000000002</v>
      </c>
      <c r="AE29" s="59">
        <f ca="1">AD29*U29</f>
        <v>0.5293941176470589</v>
      </c>
      <c r="AF29" s="4" t="s">
        <v>346</v>
      </c>
      <c r="AG29" s="4"/>
      <c r="AH29" s="4"/>
      <c r="AI29" s="4"/>
    </row>
    <row r="30" spans="1:35" x14ac:dyDescent="0.25">
      <c r="A30" s="4"/>
      <c r="B30" s="4"/>
      <c r="C30" s="4" t="s">
        <v>350</v>
      </c>
      <c r="D30" s="4">
        <v>5</v>
      </c>
      <c r="E30" s="4">
        <f>+IF(FormularioFODA!D33="x",1,0)*E$2</f>
        <v>0</v>
      </c>
      <c r="F30" s="4">
        <f>+IF(FormularioFODA!E33="x",1,0)*F$2</f>
        <v>0</v>
      </c>
      <c r="G30" s="4">
        <f>+IF(FormularioFODA!F33="x",1,0)*G$2</f>
        <v>3</v>
      </c>
      <c r="H30" s="4">
        <f>+IF(FormularioFODA!G33="x",1,0)*H$2</f>
        <v>0</v>
      </c>
      <c r="I30" s="4">
        <f>+IF(FormularioFODA!H33="x",1,0)*I$2</f>
        <v>0</v>
      </c>
      <c r="J30" s="4">
        <f>SUM(E30:I30)</f>
        <v>3</v>
      </c>
      <c r="K30" s="4">
        <f>+IF(FormularioFODA!J33="x",1,0)*K$2</f>
        <v>0</v>
      </c>
      <c r="L30" s="4">
        <f>+IF(FormularioFODA!K33="x",1,0)*L$2</f>
        <v>0</v>
      </c>
      <c r="M30" s="4">
        <f>+IF(FormularioFODA!L33="x",1,0)*M$2</f>
        <v>3</v>
      </c>
      <c r="N30" s="4">
        <f>+IF(FormularioFODA!M33="x",1,0)*N$2</f>
        <v>0</v>
      </c>
      <c r="O30" s="4">
        <f>SUM(K30:N30)</f>
        <v>3</v>
      </c>
      <c r="P30" s="34">
        <f>IF($O$31=0,0,O30/$O$31)</f>
        <v>0.17647058823529413</v>
      </c>
      <c r="Q30" s="59">
        <f>+(J30/$I$2)*P30</f>
        <v>0.10588235294117647</v>
      </c>
      <c r="R30" s="4"/>
      <c r="S30" s="4">
        <v>5</v>
      </c>
      <c r="T30" s="4">
        <f>+J30</f>
        <v>3</v>
      </c>
      <c r="U30" s="62">
        <f>+P30</f>
        <v>0.17647058823529413</v>
      </c>
      <c r="V30" s="4">
        <f>IF(ISERROR(T30/S30*100-IF(T30/S30&lt;0,100,0)),0,T30/S30*100-IF(T30/S30&lt;0,100,0))</f>
        <v>60</v>
      </c>
      <c r="W30" s="4">
        <f>ABS(V30)-0.001</f>
        <v>59.999000000000002</v>
      </c>
      <c r="X30" s="4">
        <f ca="1">IF(T30=0,0,INDIRECT(ADDRESS(MATCH(W30,Rango!$B$2:$B$101,1)+1,3,1,1,"Rango")))</f>
        <v>3</v>
      </c>
      <c r="Y30" s="4">
        <f ca="1">IF(T30=0,0,INDIRECT(ADDRESS(MATCH(W30,Rango!$B$2:$B$101,1)+2,3,1,1,"Rango")))</f>
        <v>5</v>
      </c>
      <c r="Z30" s="4">
        <f>IF(T30=0,0,VLOOKUP(W30-0.01,Rango!$B$2:$B$101,1))</f>
        <v>40</v>
      </c>
      <c r="AA30" s="4">
        <f ca="1">IF(T30=0,0,INDIRECT(ADDRESS(MATCH(W30,Rango!$B$2:$B$101,1)+2,2,1,1,"Rango")))-Z30</f>
        <v>20</v>
      </c>
      <c r="AB30" s="59">
        <f ca="1">IF(AND(Y30=0,X30&lt;&gt;0),X30,IF(AA30=0,0,X30+((W30-Z30)*(Y30-X30))/AA30))</f>
        <v>4.9999000000000002</v>
      </c>
      <c r="AC30" s="4">
        <f>IF(V30&gt;0,1)+(IF(V30&lt;0,-1))</f>
        <v>1</v>
      </c>
      <c r="AD30" s="63">
        <f ca="1">AB30*AC30</f>
        <v>4.9999000000000002</v>
      </c>
      <c r="AE30" s="59">
        <f ca="1">AD30*U30</f>
        <v>0.88233529411764711</v>
      </c>
      <c r="AF30" s="4" t="s">
        <v>351</v>
      </c>
      <c r="AG30" s="4"/>
      <c r="AH30" s="4"/>
      <c r="AI30" s="4"/>
    </row>
    <row r="31" spans="1:35" x14ac:dyDescent="0.25">
      <c r="A31" s="4"/>
      <c r="B31" s="12" t="s">
        <v>818</v>
      </c>
      <c r="C31" s="4"/>
      <c r="D31" s="4"/>
      <c r="E31" s="12">
        <f t="shared" ref="E31:Q31" si="15">SUM(E26:E30)</f>
        <v>0</v>
      </c>
      <c r="F31" s="12">
        <f t="shared" si="15"/>
        <v>2</v>
      </c>
      <c r="G31" s="12">
        <f t="shared" si="15"/>
        <v>9</v>
      </c>
      <c r="H31" s="12">
        <f t="shared" si="15"/>
        <v>4</v>
      </c>
      <c r="I31" s="12">
        <f t="shared" si="15"/>
        <v>0</v>
      </c>
      <c r="J31" s="12">
        <f t="shared" si="15"/>
        <v>15</v>
      </c>
      <c r="K31" s="12">
        <f t="shared" si="15"/>
        <v>0</v>
      </c>
      <c r="L31" s="12">
        <f t="shared" si="15"/>
        <v>0</v>
      </c>
      <c r="M31" s="12">
        <f t="shared" si="15"/>
        <v>9</v>
      </c>
      <c r="N31" s="12">
        <f t="shared" si="15"/>
        <v>8</v>
      </c>
      <c r="O31" s="12">
        <f t="shared" si="15"/>
        <v>17</v>
      </c>
      <c r="P31" s="60">
        <f t="shared" si="15"/>
        <v>1</v>
      </c>
      <c r="Q31" s="61">
        <f t="shared" si="15"/>
        <v>0.61176470588235288</v>
      </c>
      <c r="R31" s="4"/>
      <c r="S31" s="4">
        <f>SUM(S26:S30)</f>
        <v>25</v>
      </c>
      <c r="T31" s="4"/>
      <c r="U31" s="62"/>
      <c r="V31" s="4"/>
      <c r="W31" s="4"/>
      <c r="X31" s="4"/>
      <c r="Y31" s="4"/>
      <c r="Z31" s="4"/>
      <c r="AA31" s="4"/>
      <c r="AB31" s="59"/>
      <c r="AC31" s="4"/>
      <c r="AD31" s="63"/>
      <c r="AE31" s="68">
        <f ca="1">SUM(AE26:AE30)</f>
        <v>5.1175470588235292</v>
      </c>
      <c r="AF31" s="4"/>
      <c r="AG31" s="4"/>
      <c r="AH31" s="4"/>
      <c r="AI31" s="4"/>
    </row>
    <row r="32" spans="1:35" x14ac:dyDescent="0.25">
      <c r="A32" s="4"/>
      <c r="B32" s="4"/>
      <c r="C32" s="4"/>
      <c r="D32" s="4"/>
      <c r="E32" s="4"/>
      <c r="F32" s="4"/>
      <c r="G32" s="4"/>
      <c r="H32" s="4"/>
      <c r="I32" s="4"/>
      <c r="J32" s="4"/>
      <c r="K32" s="4"/>
      <c r="L32" s="4"/>
      <c r="M32" s="4"/>
      <c r="N32" s="4"/>
      <c r="O32" s="4"/>
      <c r="P32" s="34"/>
      <c r="Q32" s="59"/>
      <c r="R32" s="4"/>
      <c r="S32" s="4"/>
      <c r="T32" s="4"/>
      <c r="U32" s="62"/>
      <c r="V32" s="4"/>
      <c r="W32" s="4"/>
      <c r="X32" s="4"/>
      <c r="Y32" s="4"/>
      <c r="Z32" s="4"/>
      <c r="AA32" s="4"/>
      <c r="AB32" s="59"/>
      <c r="AC32" s="4"/>
      <c r="AD32" s="63"/>
      <c r="AE32" s="59"/>
      <c r="AF32" s="4"/>
      <c r="AG32" s="4"/>
      <c r="AH32" s="4"/>
      <c r="AI32" s="4"/>
    </row>
    <row r="33" spans="1:35" x14ac:dyDescent="0.25">
      <c r="A33" s="4"/>
      <c r="B33" s="4" t="str">
        <f>+FormularioFODA!B35</f>
        <v>Fuentes de Ingresos</v>
      </c>
      <c r="C33" s="4" t="s">
        <v>354</v>
      </c>
      <c r="D33" s="4">
        <v>1</v>
      </c>
      <c r="E33" s="4">
        <f>+IF(FormularioFODA!D36="x",1,0)*E$2</f>
        <v>0</v>
      </c>
      <c r="F33" s="4">
        <f>+IF(FormularioFODA!E36="x",1,0)*F$2</f>
        <v>0</v>
      </c>
      <c r="G33" s="4">
        <f>+IF(FormularioFODA!F36="x",1,0)*G$2</f>
        <v>0</v>
      </c>
      <c r="H33" s="4">
        <f>+IF(FormularioFODA!G36="x",1,0)*H$2</f>
        <v>4</v>
      </c>
      <c r="I33" s="4">
        <f>+IF(FormularioFODA!H36="x",1,0)*I$2</f>
        <v>0</v>
      </c>
      <c r="J33" s="4">
        <f t="shared" ref="J33:J38" si="16">SUM(E33:I33)</f>
        <v>4</v>
      </c>
      <c r="K33" s="4">
        <f>+IF(FormularioFODA!J36="x",1,0)*K$2</f>
        <v>0</v>
      </c>
      <c r="L33" s="4">
        <f>+IF(FormularioFODA!K36="x",1,0)*L$2</f>
        <v>0</v>
      </c>
      <c r="M33" s="4">
        <f>+IF(FormularioFODA!L36="x",1,0)*M$2</f>
        <v>0</v>
      </c>
      <c r="N33" s="4">
        <f>+IF(FormularioFODA!M36="x",1,0)*N$2</f>
        <v>4</v>
      </c>
      <c r="O33" s="4">
        <f t="shared" ref="O33:O38" si="17">SUM(K33:N33)</f>
        <v>4</v>
      </c>
      <c r="P33" s="34">
        <f t="shared" ref="P33:P38" si="18">IF($O$39=0,0,O33/$O$39)</f>
        <v>0.23529411764705882</v>
      </c>
      <c r="Q33" s="59">
        <f t="shared" ref="Q33:Q38" si="19">+(J33/$I$2)*P33</f>
        <v>0.18823529411764706</v>
      </c>
      <c r="R33" s="4"/>
      <c r="S33" s="4">
        <v>5</v>
      </c>
      <c r="T33" s="4">
        <f t="shared" ref="T33:T38" si="20">+J33</f>
        <v>4</v>
      </c>
      <c r="U33" s="62">
        <f t="shared" ref="U33:U38" si="21">+P33</f>
        <v>0.23529411764705882</v>
      </c>
      <c r="V33" s="4">
        <f t="shared" ref="V33:V38" si="22">IF(ISERROR(T33/S33*100-IF(T33/S33&lt;0,100,0)),0,T33/S33*100-IF(T33/S33&lt;0,100,0))</f>
        <v>80</v>
      </c>
      <c r="W33" s="4">
        <f t="shared" ref="W33:W38" si="23">ABS(V33)-0.001</f>
        <v>79.998999999999995</v>
      </c>
      <c r="X33" s="4">
        <f ca="1">IF(T33=0,0,INDIRECT(ADDRESS(MATCH(W33,Rango!$B$2:$B$101,1)+1,3,1,1,"Rango")))</f>
        <v>5</v>
      </c>
      <c r="Y33" s="4">
        <f ca="1">IF(T33=0,0,INDIRECT(ADDRESS(MATCH(W33,Rango!$B$2:$B$101,1)+2,3,1,1,"Rango")))</f>
        <v>7</v>
      </c>
      <c r="Z33" s="4">
        <f>IF(T33=0,0,VLOOKUP(W33-0.01,Rango!$B$2:$B$101,1))</f>
        <v>60</v>
      </c>
      <c r="AA33" s="4">
        <f ca="1">IF(T33=0,0,INDIRECT(ADDRESS(MATCH(W33,Rango!$B$2:$B$101,1)+2,2,1,1,"Rango")))-Z33</f>
        <v>20</v>
      </c>
      <c r="AB33" s="59">
        <f t="shared" ref="AB33:AB38" ca="1" si="24">IF(AND(Y33=0,X33&lt;&gt;0),X33,IF(AA33=0,0,X33+((W33-Z33)*(Y33-X33))/AA33))</f>
        <v>6.9998999999999993</v>
      </c>
      <c r="AC33" s="4">
        <f t="shared" ref="AC33:AC38" si="25">IF(V33&gt;0,1)+(IF(V33&lt;0,-1))</f>
        <v>1</v>
      </c>
      <c r="AD33" s="63">
        <f t="shared" ref="AD33:AD38" ca="1" si="26">AB33*AC33</f>
        <v>6.9998999999999993</v>
      </c>
      <c r="AE33" s="59">
        <f t="shared" ref="AE33:AE38" ca="1" si="27">AD33*U33</f>
        <v>1.6470352941176469</v>
      </c>
      <c r="AF33" s="4" t="s">
        <v>355</v>
      </c>
      <c r="AG33" s="4"/>
      <c r="AH33" s="4"/>
      <c r="AI33" s="4"/>
    </row>
    <row r="34" spans="1:35" x14ac:dyDescent="0.25">
      <c r="A34" s="4"/>
      <c r="B34" s="4"/>
      <c r="C34" s="4" t="s">
        <v>359</v>
      </c>
      <c r="D34" s="4">
        <v>2</v>
      </c>
      <c r="E34" s="4">
        <f>+IF(FormularioFODA!D37="x",1,0)*E$2</f>
        <v>0</v>
      </c>
      <c r="F34" s="4">
        <f>+IF(FormularioFODA!E37="x",1,0)*F$2</f>
        <v>0</v>
      </c>
      <c r="G34" s="4">
        <f>+IF(FormularioFODA!F37="x",1,0)*G$2</f>
        <v>0</v>
      </c>
      <c r="H34" s="4">
        <f>+IF(FormularioFODA!G37="x",1,0)*H$2</f>
        <v>4</v>
      </c>
      <c r="I34" s="4">
        <f>+IF(FormularioFODA!H37="x",1,0)*I$2</f>
        <v>0</v>
      </c>
      <c r="J34" s="4">
        <f t="shared" si="16"/>
        <v>4</v>
      </c>
      <c r="K34" s="4">
        <f>+IF(FormularioFODA!J37="x",1,0)*K$2</f>
        <v>0</v>
      </c>
      <c r="L34" s="4">
        <f>+IF(FormularioFODA!K37="x",1,0)*L$2</f>
        <v>0</v>
      </c>
      <c r="M34" s="4">
        <f>+IF(FormularioFODA!L37="x",1,0)*M$2</f>
        <v>3</v>
      </c>
      <c r="N34" s="4">
        <f>+IF(FormularioFODA!M37="x",1,0)*N$2</f>
        <v>0</v>
      </c>
      <c r="O34" s="4">
        <f t="shared" si="17"/>
        <v>3</v>
      </c>
      <c r="P34" s="34">
        <f t="shared" si="18"/>
        <v>0.17647058823529413</v>
      </c>
      <c r="Q34" s="59">
        <f t="shared" si="19"/>
        <v>0.14117647058823532</v>
      </c>
      <c r="R34" s="4"/>
      <c r="S34" s="4">
        <v>5</v>
      </c>
      <c r="T34" s="4">
        <f t="shared" si="20"/>
        <v>4</v>
      </c>
      <c r="U34" s="62">
        <f t="shared" si="21"/>
        <v>0.17647058823529413</v>
      </c>
      <c r="V34" s="4">
        <f t="shared" si="22"/>
        <v>80</v>
      </c>
      <c r="W34" s="4">
        <f t="shared" si="23"/>
        <v>79.998999999999995</v>
      </c>
      <c r="X34" s="4">
        <f ca="1">IF(T34=0,0,INDIRECT(ADDRESS(MATCH(W34,Rango!$B$2:$B$101,1)+1,3,1,1,"Rango")))</f>
        <v>5</v>
      </c>
      <c r="Y34" s="4">
        <f ca="1">IF(T34=0,0,INDIRECT(ADDRESS(MATCH(W34,Rango!$B$2:$B$101,1)+2,3,1,1,"Rango")))</f>
        <v>7</v>
      </c>
      <c r="Z34" s="4">
        <f>IF(T34=0,0,VLOOKUP(W34-0.01,Rango!$B$2:$B$101,1))</f>
        <v>60</v>
      </c>
      <c r="AA34" s="4">
        <f ca="1">IF(T34=0,0,INDIRECT(ADDRESS(MATCH(W34,Rango!$B$2:$B$101,1)+2,2,1,1,"Rango")))-Z34</f>
        <v>20</v>
      </c>
      <c r="AB34" s="59">
        <f t="shared" ca="1" si="24"/>
        <v>6.9998999999999993</v>
      </c>
      <c r="AC34" s="4">
        <f t="shared" si="25"/>
        <v>1</v>
      </c>
      <c r="AD34" s="63">
        <f t="shared" ca="1" si="26"/>
        <v>6.9998999999999993</v>
      </c>
      <c r="AE34" s="59">
        <f t="shared" ca="1" si="27"/>
        <v>1.2352764705882353</v>
      </c>
      <c r="AF34" s="4" t="s">
        <v>360</v>
      </c>
      <c r="AG34" s="4"/>
      <c r="AH34" s="4"/>
      <c r="AI34" s="4"/>
    </row>
    <row r="35" spans="1:35" x14ac:dyDescent="0.25">
      <c r="A35" s="4"/>
      <c r="B35" s="4"/>
      <c r="C35" s="4" t="s">
        <v>364</v>
      </c>
      <c r="D35" s="4">
        <v>3</v>
      </c>
      <c r="E35" s="4">
        <f>+IF(FormularioFODA!D38="x",1,0)*E$2</f>
        <v>1</v>
      </c>
      <c r="F35" s="4">
        <f>+IF(FormularioFODA!E38="x",1,0)*F$2</f>
        <v>0</v>
      </c>
      <c r="G35" s="4">
        <f>+IF(FormularioFODA!F38="x",1,0)*G$2</f>
        <v>0</v>
      </c>
      <c r="H35" s="4">
        <f>+IF(FormularioFODA!G38="x",1,0)*H$2</f>
        <v>0</v>
      </c>
      <c r="I35" s="4">
        <f>+IF(FormularioFODA!H38="x",1,0)*I$2</f>
        <v>0</v>
      </c>
      <c r="J35" s="4">
        <f t="shared" si="16"/>
        <v>1</v>
      </c>
      <c r="K35" s="4">
        <f>+IF(FormularioFODA!J38="x",1,0)*K$2</f>
        <v>0</v>
      </c>
      <c r="L35" s="4">
        <f>+IF(FormularioFODA!K38="x",1,0)*L$2</f>
        <v>0</v>
      </c>
      <c r="M35" s="4">
        <f>+IF(FormularioFODA!L38="x",1,0)*M$2</f>
        <v>3</v>
      </c>
      <c r="N35" s="4">
        <f>+IF(FormularioFODA!M38="x",1,0)*N$2</f>
        <v>0</v>
      </c>
      <c r="O35" s="4">
        <f t="shared" si="17"/>
        <v>3</v>
      </c>
      <c r="P35" s="34">
        <f t="shared" si="18"/>
        <v>0.17647058823529413</v>
      </c>
      <c r="Q35" s="59">
        <f t="shared" si="19"/>
        <v>3.529411764705883E-2</v>
      </c>
      <c r="R35" s="4"/>
      <c r="S35" s="4">
        <v>5</v>
      </c>
      <c r="T35" s="4">
        <f t="shared" si="20"/>
        <v>1</v>
      </c>
      <c r="U35" s="62">
        <f t="shared" si="21"/>
        <v>0.17647058823529413</v>
      </c>
      <c r="V35" s="4">
        <f t="shared" si="22"/>
        <v>20</v>
      </c>
      <c r="W35" s="4">
        <f t="shared" si="23"/>
        <v>19.998999999999999</v>
      </c>
      <c r="X35" s="4">
        <f ca="1">IF(T35=0,0,INDIRECT(ADDRESS(MATCH(W35,Rango!$B$2:$B$101,1)+1,3,1,1,"Rango")))</f>
        <v>0</v>
      </c>
      <c r="Y35" s="4">
        <f ca="1">IF(T35=0,0,INDIRECT(ADDRESS(MATCH(W35,Rango!$B$2:$B$101,1)+2,3,1,1,"Rango")))</f>
        <v>1</v>
      </c>
      <c r="Z35" s="4">
        <f>IF(T35=0,0,VLOOKUP(W35-0.01,Rango!$B$2:$B$101,1))</f>
        <v>0</v>
      </c>
      <c r="AA35" s="4">
        <f ca="1">IF(T35=0,0,INDIRECT(ADDRESS(MATCH(W35,Rango!$B$2:$B$101,1)+2,2,1,1,"Rango")))-Z35</f>
        <v>20</v>
      </c>
      <c r="AB35" s="59">
        <f t="shared" ca="1" si="24"/>
        <v>0.99994999999999989</v>
      </c>
      <c r="AC35" s="4">
        <f t="shared" si="25"/>
        <v>1</v>
      </c>
      <c r="AD35" s="63">
        <f t="shared" ca="1" si="26"/>
        <v>0.99994999999999989</v>
      </c>
      <c r="AE35" s="59">
        <f t="shared" ca="1" si="27"/>
        <v>0.17646176470588235</v>
      </c>
      <c r="AF35" s="4" t="s">
        <v>365</v>
      </c>
      <c r="AG35" s="4"/>
      <c r="AH35" s="4"/>
      <c r="AI35" s="4"/>
    </row>
    <row r="36" spans="1:35" x14ac:dyDescent="0.25">
      <c r="A36" s="4"/>
      <c r="B36" s="4"/>
      <c r="C36" s="4" t="s">
        <v>369</v>
      </c>
      <c r="D36" s="4">
        <v>4</v>
      </c>
      <c r="E36" s="4">
        <f>+IF(FormularioFODA!D39="x",1,0)*E$2</f>
        <v>0</v>
      </c>
      <c r="F36" s="4">
        <f>+IF(FormularioFODA!E39="x",1,0)*F$2</f>
        <v>0</v>
      </c>
      <c r="G36" s="4">
        <f>+IF(FormularioFODA!F39="x",1,0)*G$2</f>
        <v>0</v>
      </c>
      <c r="H36" s="4">
        <f>+IF(FormularioFODA!G39="x",1,0)*H$2</f>
        <v>4</v>
      </c>
      <c r="I36" s="4">
        <f>+IF(FormularioFODA!H39="x",1,0)*I$2</f>
        <v>0</v>
      </c>
      <c r="J36" s="4">
        <f t="shared" si="16"/>
        <v>4</v>
      </c>
      <c r="K36" s="4">
        <f>+IF(FormularioFODA!J39="x",1,0)*K$2</f>
        <v>0</v>
      </c>
      <c r="L36" s="4">
        <f>+IF(FormularioFODA!K39="x",1,0)*L$2</f>
        <v>0</v>
      </c>
      <c r="M36" s="4">
        <f>+IF(FormularioFODA!L39="x",1,0)*M$2</f>
        <v>3</v>
      </c>
      <c r="N36" s="4">
        <f>+IF(FormularioFODA!M39="x",1,0)*N$2</f>
        <v>0</v>
      </c>
      <c r="O36" s="4">
        <f t="shared" si="17"/>
        <v>3</v>
      </c>
      <c r="P36" s="34">
        <f t="shared" si="18"/>
        <v>0.17647058823529413</v>
      </c>
      <c r="Q36" s="59">
        <f t="shared" si="19"/>
        <v>0.14117647058823532</v>
      </c>
      <c r="R36" s="4"/>
      <c r="S36" s="4">
        <v>5</v>
      </c>
      <c r="T36" s="4">
        <f t="shared" si="20"/>
        <v>4</v>
      </c>
      <c r="U36" s="62">
        <f t="shared" si="21"/>
        <v>0.17647058823529413</v>
      </c>
      <c r="V36" s="4">
        <f t="shared" si="22"/>
        <v>80</v>
      </c>
      <c r="W36" s="4">
        <f t="shared" si="23"/>
        <v>79.998999999999995</v>
      </c>
      <c r="X36" s="4">
        <f ca="1">IF(T36=0,0,INDIRECT(ADDRESS(MATCH(W36,Rango!$B$2:$B$101,1)+1,3,1,1,"Rango")))</f>
        <v>5</v>
      </c>
      <c r="Y36" s="4">
        <f ca="1">IF(T36=0,0,INDIRECT(ADDRESS(MATCH(W36,Rango!$B$2:$B$101,1)+2,3,1,1,"Rango")))</f>
        <v>7</v>
      </c>
      <c r="Z36" s="4">
        <f>IF(T36=0,0,VLOOKUP(W36-0.01,Rango!$B$2:$B$101,1))</f>
        <v>60</v>
      </c>
      <c r="AA36" s="4">
        <f ca="1">IF(T36=0,0,INDIRECT(ADDRESS(MATCH(W36,Rango!$B$2:$B$101,1)+2,2,1,1,"Rango")))-Z36</f>
        <v>20</v>
      </c>
      <c r="AB36" s="59">
        <f t="shared" ca="1" si="24"/>
        <v>6.9998999999999993</v>
      </c>
      <c r="AC36" s="4">
        <f t="shared" si="25"/>
        <v>1</v>
      </c>
      <c r="AD36" s="63">
        <f t="shared" ca="1" si="26"/>
        <v>6.9998999999999993</v>
      </c>
      <c r="AE36" s="59">
        <f t="shared" ca="1" si="27"/>
        <v>1.2352764705882353</v>
      </c>
      <c r="AF36" s="4" t="s">
        <v>370</v>
      </c>
      <c r="AG36" s="4"/>
      <c r="AH36" s="4"/>
      <c r="AI36" s="4"/>
    </row>
    <row r="37" spans="1:35" x14ac:dyDescent="0.25">
      <c r="A37" s="4"/>
      <c r="B37" s="4"/>
      <c r="C37" s="4" t="s">
        <v>374</v>
      </c>
      <c r="D37" s="4">
        <v>5</v>
      </c>
      <c r="E37" s="4">
        <f>+IF(FormularioFODA!D40="x",1,0)*E$2</f>
        <v>0</v>
      </c>
      <c r="F37" s="4">
        <f>+IF(FormularioFODA!E40="x",1,0)*F$2</f>
        <v>0</v>
      </c>
      <c r="G37" s="4">
        <f>+IF(FormularioFODA!F40="x",1,0)*G$2</f>
        <v>0</v>
      </c>
      <c r="H37" s="4">
        <f>+IF(FormularioFODA!G40="x",1,0)*H$2</f>
        <v>4</v>
      </c>
      <c r="I37" s="4">
        <f>+IF(FormularioFODA!H40="x",1,0)*I$2</f>
        <v>0</v>
      </c>
      <c r="J37" s="4">
        <f t="shared" si="16"/>
        <v>4</v>
      </c>
      <c r="K37" s="4">
        <f>+IF(FormularioFODA!J40="x",1,0)*K$2</f>
        <v>0</v>
      </c>
      <c r="L37" s="4">
        <f>+IF(FormularioFODA!K40="x",1,0)*L$2</f>
        <v>0</v>
      </c>
      <c r="M37" s="4">
        <f>+IF(FormularioFODA!L40="x",1,0)*M$2</f>
        <v>3</v>
      </c>
      <c r="N37" s="4">
        <f>+IF(FormularioFODA!M40="x",1,0)*N$2</f>
        <v>0</v>
      </c>
      <c r="O37" s="4">
        <f t="shared" si="17"/>
        <v>3</v>
      </c>
      <c r="P37" s="34">
        <f t="shared" si="18"/>
        <v>0.17647058823529413</v>
      </c>
      <c r="Q37" s="59">
        <f t="shared" si="19"/>
        <v>0.14117647058823532</v>
      </c>
      <c r="R37" s="4"/>
      <c r="S37" s="4">
        <v>5</v>
      </c>
      <c r="T37" s="4">
        <f t="shared" si="20"/>
        <v>4</v>
      </c>
      <c r="U37" s="62">
        <f t="shared" si="21"/>
        <v>0.17647058823529413</v>
      </c>
      <c r="V37" s="4">
        <f t="shared" si="22"/>
        <v>80</v>
      </c>
      <c r="W37" s="4">
        <f t="shared" si="23"/>
        <v>79.998999999999995</v>
      </c>
      <c r="X37" s="4">
        <f ca="1">IF(T37=0,0,INDIRECT(ADDRESS(MATCH(W37,Rango!$B$2:$B$101,1)+1,3,1,1,"Rango")))</f>
        <v>5</v>
      </c>
      <c r="Y37" s="4">
        <f ca="1">IF(T37=0,0,INDIRECT(ADDRESS(MATCH(W37,Rango!$B$2:$B$101,1)+2,3,1,1,"Rango")))</f>
        <v>7</v>
      </c>
      <c r="Z37" s="4">
        <f>IF(T37=0,0,VLOOKUP(W37-0.01,Rango!$B$2:$B$101,1))</f>
        <v>60</v>
      </c>
      <c r="AA37" s="4">
        <f ca="1">IF(T37=0,0,INDIRECT(ADDRESS(MATCH(W37,Rango!$B$2:$B$101,1)+2,2,1,1,"Rango")))-Z37</f>
        <v>20</v>
      </c>
      <c r="AB37" s="59">
        <f t="shared" ca="1" si="24"/>
        <v>6.9998999999999993</v>
      </c>
      <c r="AC37" s="4">
        <f t="shared" si="25"/>
        <v>1</v>
      </c>
      <c r="AD37" s="63">
        <f t="shared" ca="1" si="26"/>
        <v>6.9998999999999993</v>
      </c>
      <c r="AE37" s="59">
        <f t="shared" ca="1" si="27"/>
        <v>1.2352764705882353</v>
      </c>
      <c r="AF37" s="4" t="s">
        <v>375</v>
      </c>
      <c r="AG37" s="4"/>
      <c r="AH37" s="4"/>
      <c r="AI37" s="4"/>
    </row>
    <row r="38" spans="1:35" x14ac:dyDescent="0.25">
      <c r="A38" s="4"/>
      <c r="B38" s="4"/>
      <c r="C38" s="4" t="s">
        <v>378</v>
      </c>
      <c r="D38" s="4">
        <v>6</v>
      </c>
      <c r="E38" s="4">
        <f>+IF(FormularioFODA!D41="x",1,0)*E$2</f>
        <v>0</v>
      </c>
      <c r="F38" s="4">
        <f>+IF(FormularioFODA!E41="x",1,0)*F$2</f>
        <v>0</v>
      </c>
      <c r="G38" s="4">
        <f>+IF(FormularioFODA!F41="x",1,0)*G$2</f>
        <v>3</v>
      </c>
      <c r="H38" s="4">
        <f>+IF(FormularioFODA!G41="x",1,0)*H$2</f>
        <v>0</v>
      </c>
      <c r="I38" s="4">
        <f>+IF(FormularioFODA!H41="x",1,0)*I$2</f>
        <v>0</v>
      </c>
      <c r="J38" s="4">
        <f t="shared" si="16"/>
        <v>3</v>
      </c>
      <c r="K38" s="4">
        <f>+IF(FormularioFODA!J41="x",1,0)*K$2</f>
        <v>1</v>
      </c>
      <c r="L38" s="4">
        <f>+IF(FormularioFODA!K41="x",1,0)*L$2</f>
        <v>0</v>
      </c>
      <c r="M38" s="4">
        <f>+IF(FormularioFODA!L41="x",1,0)*M$2</f>
        <v>0</v>
      </c>
      <c r="N38" s="4">
        <f>+IF(FormularioFODA!M41="x",1,0)*N$2</f>
        <v>0</v>
      </c>
      <c r="O38" s="4">
        <f t="shared" si="17"/>
        <v>1</v>
      </c>
      <c r="P38" s="34">
        <f t="shared" si="18"/>
        <v>5.8823529411764705E-2</v>
      </c>
      <c r="Q38" s="59">
        <f t="shared" si="19"/>
        <v>3.5294117647058823E-2</v>
      </c>
      <c r="R38" s="4"/>
      <c r="S38" s="4">
        <v>5</v>
      </c>
      <c r="T38" s="4">
        <f t="shared" si="20"/>
        <v>3</v>
      </c>
      <c r="U38" s="62">
        <f t="shared" si="21"/>
        <v>5.8823529411764705E-2</v>
      </c>
      <c r="V38" s="4">
        <f t="shared" si="22"/>
        <v>60</v>
      </c>
      <c r="W38" s="4">
        <f t="shared" si="23"/>
        <v>59.999000000000002</v>
      </c>
      <c r="X38" s="4">
        <f ca="1">IF(T38=0,0,INDIRECT(ADDRESS(MATCH(W38,Rango!$B$2:$B$101,1)+1,3,1,1,"Rango")))</f>
        <v>3</v>
      </c>
      <c r="Y38" s="4">
        <f ca="1">IF(T38=0,0,INDIRECT(ADDRESS(MATCH(W38,Rango!$B$2:$B$101,1)+2,3,1,1,"Rango")))</f>
        <v>5</v>
      </c>
      <c r="Z38" s="4">
        <f>IF(T38=0,0,VLOOKUP(W38-0.01,Rango!$B$2:$B$101,1))</f>
        <v>40</v>
      </c>
      <c r="AA38" s="4">
        <f ca="1">IF(T38=0,0,INDIRECT(ADDRESS(MATCH(W38,Rango!$B$2:$B$101,1)+2,2,1,1,"Rango")))-Z38</f>
        <v>20</v>
      </c>
      <c r="AB38" s="59">
        <f t="shared" ca="1" si="24"/>
        <v>4.9999000000000002</v>
      </c>
      <c r="AC38" s="4">
        <f t="shared" si="25"/>
        <v>1</v>
      </c>
      <c r="AD38" s="63">
        <f t="shared" ca="1" si="26"/>
        <v>4.9999000000000002</v>
      </c>
      <c r="AE38" s="59">
        <f t="shared" ca="1" si="27"/>
        <v>0.29411176470588235</v>
      </c>
      <c r="AF38" s="4" t="s">
        <v>379</v>
      </c>
      <c r="AG38" s="4"/>
      <c r="AH38" s="4"/>
      <c r="AI38" s="4"/>
    </row>
    <row r="39" spans="1:35" x14ac:dyDescent="0.25">
      <c r="A39" s="4"/>
      <c r="B39" s="12" t="s">
        <v>819</v>
      </c>
      <c r="C39" s="4"/>
      <c r="D39" s="4"/>
      <c r="E39" s="12">
        <f t="shared" ref="E39:Q39" si="28">SUM(E33:E38)</f>
        <v>1</v>
      </c>
      <c r="F39" s="12">
        <f t="shared" si="28"/>
        <v>0</v>
      </c>
      <c r="G39" s="12">
        <f t="shared" si="28"/>
        <v>3</v>
      </c>
      <c r="H39" s="12">
        <f t="shared" si="28"/>
        <v>16</v>
      </c>
      <c r="I39" s="12">
        <f t="shared" si="28"/>
        <v>0</v>
      </c>
      <c r="J39" s="12">
        <f t="shared" si="28"/>
        <v>20</v>
      </c>
      <c r="K39" s="12">
        <f t="shared" si="28"/>
        <v>1</v>
      </c>
      <c r="L39" s="12">
        <f t="shared" si="28"/>
        <v>0</v>
      </c>
      <c r="M39" s="12">
        <f t="shared" si="28"/>
        <v>12</v>
      </c>
      <c r="N39" s="12">
        <f t="shared" si="28"/>
        <v>4</v>
      </c>
      <c r="O39" s="12">
        <f t="shared" si="28"/>
        <v>17</v>
      </c>
      <c r="P39" s="60">
        <f t="shared" si="28"/>
        <v>1</v>
      </c>
      <c r="Q39" s="61">
        <f t="shared" si="28"/>
        <v>0.68235294117647072</v>
      </c>
      <c r="R39" s="4"/>
      <c r="S39" s="4">
        <f>SUM(S33:S38)</f>
        <v>30</v>
      </c>
      <c r="T39" s="4"/>
      <c r="U39" s="62"/>
      <c r="V39" s="4"/>
      <c r="W39" s="4"/>
      <c r="X39" s="4"/>
      <c r="Y39" s="4"/>
      <c r="Z39" s="4"/>
      <c r="AA39" s="4"/>
      <c r="AB39" s="59"/>
      <c r="AC39" s="4"/>
      <c r="AD39" s="63"/>
      <c r="AE39" s="68">
        <f ca="1">SUM(AE33:AE38)</f>
        <v>5.8234382352941187</v>
      </c>
      <c r="AF39" s="4"/>
      <c r="AG39" s="4"/>
      <c r="AH39" s="4"/>
      <c r="AI39" s="4"/>
    </row>
    <row r="40" spans="1:35" x14ac:dyDescent="0.25">
      <c r="A40" s="4"/>
      <c r="B40" s="4"/>
      <c r="C40" s="4"/>
      <c r="D40" s="4"/>
      <c r="E40" s="4"/>
      <c r="F40" s="4"/>
      <c r="G40" s="4"/>
      <c r="H40" s="4"/>
      <c r="I40" s="4"/>
      <c r="J40" s="4"/>
      <c r="K40" s="4"/>
      <c r="L40" s="4"/>
      <c r="M40" s="4"/>
      <c r="N40" s="4"/>
      <c r="O40" s="4"/>
      <c r="P40" s="34"/>
      <c r="Q40" s="59"/>
      <c r="R40" s="4"/>
      <c r="S40" s="4"/>
      <c r="T40" s="4"/>
      <c r="U40" s="62"/>
      <c r="V40" s="4"/>
      <c r="W40" s="4"/>
      <c r="X40" s="4"/>
      <c r="Y40" s="4"/>
      <c r="Z40" s="4"/>
      <c r="AA40" s="4"/>
      <c r="AB40" s="59"/>
      <c r="AC40" s="4"/>
      <c r="AD40" s="63"/>
      <c r="AE40" s="59"/>
      <c r="AF40" s="4"/>
      <c r="AG40" s="4"/>
      <c r="AH40" s="4"/>
      <c r="AI40" s="4"/>
    </row>
    <row r="41" spans="1:35" x14ac:dyDescent="0.25">
      <c r="A41" s="4"/>
      <c r="B41" s="4" t="str">
        <f>+FormularioFODA!B44</f>
        <v>Recursos Clave</v>
      </c>
      <c r="C41" s="4" t="s">
        <v>383</v>
      </c>
      <c r="D41" s="4">
        <v>1</v>
      </c>
      <c r="E41" s="4">
        <f>+IF(FormularioFODA!D45="x",1,0)*E$2</f>
        <v>0</v>
      </c>
      <c r="F41" s="4">
        <f>+IF(FormularioFODA!E45="x",1,0)*F$2</f>
        <v>0</v>
      </c>
      <c r="G41" s="4">
        <f>+IF(FormularioFODA!F45="x",1,0)*G$2</f>
        <v>0</v>
      </c>
      <c r="H41" s="4">
        <f>+IF(FormularioFODA!G45="x",1,0)*H$2</f>
        <v>4</v>
      </c>
      <c r="I41" s="4">
        <f>+IF(FormularioFODA!H45="x",1,0)*I$2</f>
        <v>0</v>
      </c>
      <c r="J41" s="4">
        <f t="shared" ref="J41:J48" si="29">SUM(E41:I41)</f>
        <v>4</v>
      </c>
      <c r="K41" s="4">
        <f>+IF(FormularioFODA!J45="x",1,0)*K$2</f>
        <v>1</v>
      </c>
      <c r="L41" s="4">
        <f>+IF(FormularioFODA!K45="x",1,0)*L$2</f>
        <v>0</v>
      </c>
      <c r="M41" s="4">
        <f>+IF(FormularioFODA!L45="x",1,0)*M$2</f>
        <v>0</v>
      </c>
      <c r="N41" s="4">
        <f>+IF(FormularioFODA!M45="x",1,0)*N$2</f>
        <v>0</v>
      </c>
      <c r="O41" s="4">
        <f t="shared" ref="O41:O48" si="30">SUM(K41:N41)</f>
        <v>1</v>
      </c>
      <c r="P41" s="34">
        <f t="shared" ref="P41:P48" si="31">IF($O$49=0,0,O41/$O$49)</f>
        <v>3.8461538461538464E-2</v>
      </c>
      <c r="Q41" s="59">
        <f t="shared" ref="Q41:Q48" si="32">+(J41/$I$2)*P41</f>
        <v>3.0769230769230771E-2</v>
      </c>
      <c r="R41" s="4"/>
      <c r="S41" s="4">
        <v>5</v>
      </c>
      <c r="T41" s="4">
        <f t="shared" ref="T41:T48" si="33">+J41</f>
        <v>4</v>
      </c>
      <c r="U41" s="62">
        <f t="shared" ref="U41:U48" si="34">+P41</f>
        <v>3.8461538461538464E-2</v>
      </c>
      <c r="V41" s="4">
        <f t="shared" ref="V41:V48" si="35">IF(ISERROR(T41/S41*100-IF(T41/S41&lt;0,100,0)),0,T41/S41*100-IF(T41/S41&lt;0,100,0))</f>
        <v>80</v>
      </c>
      <c r="W41" s="4">
        <f t="shared" ref="W41:W48" si="36">ABS(V41)-0.001</f>
        <v>79.998999999999995</v>
      </c>
      <c r="X41" s="4">
        <f ca="1">IF(T41=0,0,INDIRECT(ADDRESS(MATCH(W41,Rango!$B$2:$B$101,1)+1,3,1,1,"Rango")))</f>
        <v>5</v>
      </c>
      <c r="Y41" s="4">
        <f ca="1">IF(T41=0,0,INDIRECT(ADDRESS(MATCH(W41,Rango!$B$2:$B$101,1)+2,3,1,1,"Rango")))</f>
        <v>7</v>
      </c>
      <c r="Z41" s="4">
        <f>IF(T41=0,0,VLOOKUP(W41-0.01,Rango!$B$2:$B$101,1))</f>
        <v>60</v>
      </c>
      <c r="AA41" s="4">
        <f ca="1">IF(T41=0,0,INDIRECT(ADDRESS(MATCH(W41,Rango!$B$2:$B$101,1)+2,2,1,1,"Rango")))-Z41</f>
        <v>20</v>
      </c>
      <c r="AB41" s="59">
        <f t="shared" ref="AB41:AB48" ca="1" si="37">IF(AND(Y41=0,X41&lt;&gt;0),X41,IF(AA41=0,0,X41+((W41-Z41)*(Y41-X41))/AA41))</f>
        <v>6.9998999999999993</v>
      </c>
      <c r="AC41" s="4">
        <f t="shared" ref="AC41:AC48" si="38">IF(V41&gt;0,1)+(IF(V41&lt;0,-1))</f>
        <v>1</v>
      </c>
      <c r="AD41" s="63">
        <f t="shared" ref="AD41:AD48" ca="1" si="39">AB41*AC41</f>
        <v>6.9998999999999993</v>
      </c>
      <c r="AE41" s="59">
        <f t="shared" ref="AE41:AE48" ca="1" si="40">AD41*U41</f>
        <v>0.26922692307692309</v>
      </c>
      <c r="AF41" s="4" t="s">
        <v>384</v>
      </c>
      <c r="AG41" s="4"/>
      <c r="AH41" s="4"/>
      <c r="AI41" s="4"/>
    </row>
    <row r="42" spans="1:35" x14ac:dyDescent="0.25">
      <c r="A42" s="4"/>
      <c r="B42" s="4"/>
      <c r="C42" s="4" t="s">
        <v>388</v>
      </c>
      <c r="D42" s="4">
        <v>2</v>
      </c>
      <c r="E42" s="4">
        <f>+IF(FormularioFODA!D46="x",1,0)*E$2</f>
        <v>0</v>
      </c>
      <c r="F42" s="4">
        <f>+IF(FormularioFODA!E46="x",1,0)*F$2</f>
        <v>0</v>
      </c>
      <c r="G42" s="4">
        <f>+IF(FormularioFODA!F46="x",1,0)*G$2</f>
        <v>0</v>
      </c>
      <c r="H42" s="4">
        <f>+IF(FormularioFODA!G46="x",1,0)*H$2</f>
        <v>4</v>
      </c>
      <c r="I42" s="4">
        <f>+IF(FormularioFODA!H46="x",1,0)*I$2</f>
        <v>0</v>
      </c>
      <c r="J42" s="4">
        <f t="shared" si="29"/>
        <v>4</v>
      </c>
      <c r="K42" s="4">
        <f>+IF(FormularioFODA!J46="x",1,0)*K$2</f>
        <v>0</v>
      </c>
      <c r="L42" s="4">
        <f>+IF(FormularioFODA!K46="x",1,0)*L$2</f>
        <v>0</v>
      </c>
      <c r="M42" s="4">
        <f>+IF(FormularioFODA!L46="x",1,0)*M$2</f>
        <v>0</v>
      </c>
      <c r="N42" s="4">
        <f>+IF(FormularioFODA!M46="x",1,0)*N$2</f>
        <v>4</v>
      </c>
      <c r="O42" s="4">
        <f t="shared" si="30"/>
        <v>4</v>
      </c>
      <c r="P42" s="34">
        <f t="shared" si="31"/>
        <v>0.15384615384615385</v>
      </c>
      <c r="Q42" s="59">
        <f t="shared" si="32"/>
        <v>0.12307692307692308</v>
      </c>
      <c r="R42" s="4"/>
      <c r="S42" s="4">
        <v>5</v>
      </c>
      <c r="T42" s="4">
        <f t="shared" si="33"/>
        <v>4</v>
      </c>
      <c r="U42" s="62">
        <f t="shared" si="34"/>
        <v>0.15384615384615385</v>
      </c>
      <c r="V42" s="4">
        <f t="shared" si="35"/>
        <v>80</v>
      </c>
      <c r="W42" s="4">
        <f t="shared" si="36"/>
        <v>79.998999999999995</v>
      </c>
      <c r="X42" s="4">
        <f ca="1">IF(T42=0,0,INDIRECT(ADDRESS(MATCH(W42,Rango!$B$2:$B$101,1)+1,3,1,1,"Rango")))</f>
        <v>5</v>
      </c>
      <c r="Y42" s="4">
        <f ca="1">IF(T42=0,0,INDIRECT(ADDRESS(MATCH(W42,Rango!$B$2:$B$101,1)+2,3,1,1,"Rango")))</f>
        <v>7</v>
      </c>
      <c r="Z42" s="4">
        <f>IF(T42=0,0,VLOOKUP(W42-0.01,Rango!$B$2:$B$101,1))</f>
        <v>60</v>
      </c>
      <c r="AA42" s="4">
        <f ca="1">IF(T42=0,0,INDIRECT(ADDRESS(MATCH(W42,Rango!$B$2:$B$101,1)+2,2,1,1,"Rango")))-Z42</f>
        <v>20</v>
      </c>
      <c r="AB42" s="59">
        <f t="shared" ca="1" si="37"/>
        <v>6.9998999999999993</v>
      </c>
      <c r="AC42" s="4">
        <f t="shared" si="38"/>
        <v>1</v>
      </c>
      <c r="AD42" s="63">
        <f t="shared" ca="1" si="39"/>
        <v>6.9998999999999993</v>
      </c>
      <c r="AE42" s="59">
        <f t="shared" ca="1" si="40"/>
        <v>1.0769076923076923</v>
      </c>
      <c r="AF42" s="4" t="s">
        <v>389</v>
      </c>
      <c r="AG42" s="4"/>
      <c r="AH42" s="4"/>
      <c r="AI42" s="4"/>
    </row>
    <row r="43" spans="1:35" x14ac:dyDescent="0.25">
      <c r="A43" s="4"/>
      <c r="B43" s="4"/>
      <c r="C43" s="4" t="s">
        <v>392</v>
      </c>
      <c r="D43" s="4">
        <v>3</v>
      </c>
      <c r="E43" s="4">
        <f>+IF(FormularioFODA!D47="x",1,0)*E$2</f>
        <v>0</v>
      </c>
      <c r="F43" s="4">
        <f>+IF(FormularioFODA!E47="x",1,0)*F$2</f>
        <v>0</v>
      </c>
      <c r="G43" s="4">
        <f>+IF(FormularioFODA!F47="x",1,0)*G$2</f>
        <v>0</v>
      </c>
      <c r="H43" s="4">
        <f>+IF(FormularioFODA!G47="x",1,0)*H$2</f>
        <v>4</v>
      </c>
      <c r="I43" s="4">
        <f>+IF(FormularioFODA!H47="x",1,0)*I$2</f>
        <v>0</v>
      </c>
      <c r="J43" s="4">
        <f t="shared" si="29"/>
        <v>4</v>
      </c>
      <c r="K43" s="4">
        <f>+IF(FormularioFODA!J47="x",1,0)*K$2</f>
        <v>0</v>
      </c>
      <c r="L43" s="4">
        <f>+IF(FormularioFODA!K47="x",1,0)*L$2</f>
        <v>0</v>
      </c>
      <c r="M43" s="4">
        <f>+IF(FormularioFODA!L47="x",1,0)*M$2</f>
        <v>3</v>
      </c>
      <c r="N43" s="4">
        <f>+IF(FormularioFODA!M47="x",1,0)*N$2</f>
        <v>0</v>
      </c>
      <c r="O43" s="4">
        <f t="shared" si="30"/>
        <v>3</v>
      </c>
      <c r="P43" s="34">
        <f t="shared" si="31"/>
        <v>0.11538461538461539</v>
      </c>
      <c r="Q43" s="59">
        <f t="shared" si="32"/>
        <v>9.2307692307692313E-2</v>
      </c>
      <c r="R43" s="4"/>
      <c r="S43" s="4">
        <v>5</v>
      </c>
      <c r="T43" s="4">
        <f t="shared" si="33"/>
        <v>4</v>
      </c>
      <c r="U43" s="62">
        <f t="shared" si="34"/>
        <v>0.11538461538461539</v>
      </c>
      <c r="V43" s="4">
        <f t="shared" si="35"/>
        <v>80</v>
      </c>
      <c r="W43" s="4">
        <f t="shared" si="36"/>
        <v>79.998999999999995</v>
      </c>
      <c r="X43" s="4">
        <f ca="1">IF(T43=0,0,INDIRECT(ADDRESS(MATCH(W43,Rango!$B$2:$B$101,1)+1,3,1,1,"Rango")))</f>
        <v>5</v>
      </c>
      <c r="Y43" s="4">
        <f ca="1">IF(T43=0,0,INDIRECT(ADDRESS(MATCH(W43,Rango!$B$2:$B$101,1)+2,3,1,1,"Rango")))</f>
        <v>7</v>
      </c>
      <c r="Z43" s="4">
        <f>IF(T43=0,0,VLOOKUP(W43-0.01,Rango!$B$2:$B$101,1))</f>
        <v>60</v>
      </c>
      <c r="AA43" s="4">
        <f ca="1">IF(T43=0,0,INDIRECT(ADDRESS(MATCH(W43,Rango!$B$2:$B$101,1)+2,2,1,1,"Rango")))-Z43</f>
        <v>20</v>
      </c>
      <c r="AB43" s="59">
        <f t="shared" ca="1" si="37"/>
        <v>6.9998999999999993</v>
      </c>
      <c r="AC43" s="4">
        <f t="shared" si="38"/>
        <v>1</v>
      </c>
      <c r="AD43" s="63">
        <f t="shared" ca="1" si="39"/>
        <v>6.9998999999999993</v>
      </c>
      <c r="AE43" s="59">
        <f t="shared" ca="1" si="40"/>
        <v>0.80768076923076915</v>
      </c>
      <c r="AF43" s="4" t="s">
        <v>393</v>
      </c>
      <c r="AG43" s="4"/>
      <c r="AH43" s="4"/>
      <c r="AI43" s="4"/>
    </row>
    <row r="44" spans="1:35" x14ac:dyDescent="0.25">
      <c r="A44" s="4"/>
      <c r="B44" s="4"/>
      <c r="C44" s="4" t="s">
        <v>396</v>
      </c>
      <c r="D44" s="4">
        <v>4</v>
      </c>
      <c r="E44" s="4">
        <f>+IF(FormularioFODA!D48="x",1,0)*E$2</f>
        <v>0</v>
      </c>
      <c r="F44" s="4">
        <f>+IF(FormularioFODA!E48="x",1,0)*F$2</f>
        <v>0</v>
      </c>
      <c r="G44" s="4">
        <f>+IF(FormularioFODA!F48="x",1,0)*G$2</f>
        <v>3</v>
      </c>
      <c r="H44" s="4">
        <f>+IF(FormularioFODA!G48="x",1,0)*H$2</f>
        <v>0</v>
      </c>
      <c r="I44" s="4">
        <f>+IF(FormularioFODA!H48="x",1,0)*I$2</f>
        <v>0</v>
      </c>
      <c r="J44" s="4">
        <f t="shared" si="29"/>
        <v>3</v>
      </c>
      <c r="K44" s="4">
        <f>+IF(FormularioFODA!J48="x",1,0)*K$2</f>
        <v>0</v>
      </c>
      <c r="L44" s="4">
        <f>+IF(FormularioFODA!K48="x",1,0)*L$2</f>
        <v>0</v>
      </c>
      <c r="M44" s="4">
        <f>+IF(FormularioFODA!L48="x",1,0)*M$2</f>
        <v>3</v>
      </c>
      <c r="N44" s="4">
        <f>+IF(FormularioFODA!M48="x",1,0)*N$2</f>
        <v>0</v>
      </c>
      <c r="O44" s="4">
        <f t="shared" si="30"/>
        <v>3</v>
      </c>
      <c r="P44" s="34">
        <f t="shared" si="31"/>
        <v>0.11538461538461539</v>
      </c>
      <c r="Q44" s="59">
        <f t="shared" si="32"/>
        <v>6.9230769230769235E-2</v>
      </c>
      <c r="R44" s="4"/>
      <c r="S44" s="4">
        <v>5</v>
      </c>
      <c r="T44" s="4">
        <f t="shared" si="33"/>
        <v>3</v>
      </c>
      <c r="U44" s="62">
        <f t="shared" si="34"/>
        <v>0.11538461538461539</v>
      </c>
      <c r="V44" s="4">
        <f t="shared" si="35"/>
        <v>60</v>
      </c>
      <c r="W44" s="4">
        <f t="shared" si="36"/>
        <v>59.999000000000002</v>
      </c>
      <c r="X44" s="4">
        <f ca="1">IF(T44=0,0,INDIRECT(ADDRESS(MATCH(W44,Rango!$B$2:$B$101,1)+1,3,1,1,"Rango")))</f>
        <v>3</v>
      </c>
      <c r="Y44" s="4">
        <f ca="1">IF(T44=0,0,INDIRECT(ADDRESS(MATCH(W44,Rango!$B$2:$B$101,1)+2,3,1,1,"Rango")))</f>
        <v>5</v>
      </c>
      <c r="Z44" s="4">
        <f>IF(T44=0,0,VLOOKUP(W44-0.01,Rango!$B$2:$B$101,1))</f>
        <v>40</v>
      </c>
      <c r="AA44" s="4">
        <f ca="1">IF(T44=0,0,INDIRECT(ADDRESS(MATCH(W44,Rango!$B$2:$B$101,1)+2,2,1,1,"Rango")))-Z44</f>
        <v>20</v>
      </c>
      <c r="AB44" s="59">
        <f t="shared" ca="1" si="37"/>
        <v>4.9999000000000002</v>
      </c>
      <c r="AC44" s="4">
        <f t="shared" si="38"/>
        <v>1</v>
      </c>
      <c r="AD44" s="63">
        <f t="shared" ca="1" si="39"/>
        <v>4.9999000000000002</v>
      </c>
      <c r="AE44" s="59">
        <f t="shared" ca="1" si="40"/>
        <v>0.57691153846153853</v>
      </c>
      <c r="AF44" s="4" t="s">
        <v>397</v>
      </c>
      <c r="AG44" s="4"/>
      <c r="AH44" s="4"/>
      <c r="AI44" s="4"/>
    </row>
    <row r="45" spans="1:35" x14ac:dyDescent="0.25">
      <c r="A45" s="4"/>
      <c r="B45" s="4"/>
      <c r="C45" s="4" t="s">
        <v>400</v>
      </c>
      <c r="D45" s="4">
        <v>5</v>
      </c>
      <c r="E45" s="4">
        <f>+IF(FormularioFODA!D49="x",1,0)*E$2</f>
        <v>0</v>
      </c>
      <c r="F45" s="4">
        <f>+IF(FormularioFODA!E49="x",1,0)*F$2</f>
        <v>0</v>
      </c>
      <c r="G45" s="4">
        <f>+IF(FormularioFODA!F49="x",1,0)*G$2</f>
        <v>3</v>
      </c>
      <c r="H45" s="4">
        <f>+IF(FormularioFODA!G49="x",1,0)*H$2</f>
        <v>0</v>
      </c>
      <c r="I45" s="4">
        <f>+IF(FormularioFODA!H49="x",1,0)*I$2</f>
        <v>0</v>
      </c>
      <c r="J45" s="4">
        <f t="shared" si="29"/>
        <v>3</v>
      </c>
      <c r="K45" s="4">
        <f>+IF(FormularioFODA!J49="x",1,0)*K$2</f>
        <v>0</v>
      </c>
      <c r="L45" s="4">
        <f>+IF(FormularioFODA!K49="x",1,0)*L$2</f>
        <v>0</v>
      </c>
      <c r="M45" s="4">
        <f>+IF(FormularioFODA!L49="x",1,0)*M$2</f>
        <v>0</v>
      </c>
      <c r="N45" s="4">
        <f>+IF(FormularioFODA!M49="x",1,0)*N$2</f>
        <v>4</v>
      </c>
      <c r="O45" s="4">
        <f t="shared" si="30"/>
        <v>4</v>
      </c>
      <c r="P45" s="34">
        <f t="shared" si="31"/>
        <v>0.15384615384615385</v>
      </c>
      <c r="Q45" s="59">
        <f t="shared" si="32"/>
        <v>9.2307692307692313E-2</v>
      </c>
      <c r="R45" s="4"/>
      <c r="S45" s="4">
        <v>5</v>
      </c>
      <c r="T45" s="4">
        <f t="shared" si="33"/>
        <v>3</v>
      </c>
      <c r="U45" s="62">
        <f t="shared" si="34"/>
        <v>0.15384615384615385</v>
      </c>
      <c r="V45" s="4">
        <f t="shared" si="35"/>
        <v>60</v>
      </c>
      <c r="W45" s="4">
        <f t="shared" si="36"/>
        <v>59.999000000000002</v>
      </c>
      <c r="X45" s="4">
        <f ca="1">IF(T45=0,0,INDIRECT(ADDRESS(MATCH(W45,Rango!$B$2:$B$101,1)+1,3,1,1,"Rango")))</f>
        <v>3</v>
      </c>
      <c r="Y45" s="4">
        <f ca="1">IF(T45=0,0,INDIRECT(ADDRESS(MATCH(W45,Rango!$B$2:$B$101,1)+2,3,1,1,"Rango")))</f>
        <v>5</v>
      </c>
      <c r="Z45" s="4">
        <f>IF(T45=0,0,VLOOKUP(W45-0.01,Rango!$B$2:$B$101,1))</f>
        <v>40</v>
      </c>
      <c r="AA45" s="4">
        <f ca="1">IF(T45=0,0,INDIRECT(ADDRESS(MATCH(W45,Rango!$B$2:$B$101,1)+2,2,1,1,"Rango")))-Z45</f>
        <v>20</v>
      </c>
      <c r="AB45" s="59">
        <f t="shared" ca="1" si="37"/>
        <v>4.9999000000000002</v>
      </c>
      <c r="AC45" s="4">
        <f t="shared" si="38"/>
        <v>1</v>
      </c>
      <c r="AD45" s="63">
        <f t="shared" ca="1" si="39"/>
        <v>4.9999000000000002</v>
      </c>
      <c r="AE45" s="59">
        <f t="shared" ca="1" si="40"/>
        <v>0.76921538461538475</v>
      </c>
      <c r="AF45" s="4" t="s">
        <v>401</v>
      </c>
      <c r="AG45" s="4"/>
      <c r="AH45" s="4"/>
      <c r="AI45" s="4"/>
    </row>
    <row r="46" spans="1:35" x14ac:dyDescent="0.25">
      <c r="A46" s="4"/>
      <c r="B46" s="4"/>
      <c r="C46" s="4" t="s">
        <v>404</v>
      </c>
      <c r="D46" s="4">
        <v>6</v>
      </c>
      <c r="E46" s="4">
        <f>+IF(FormularioFODA!D50="x",1,0)*E$2</f>
        <v>0</v>
      </c>
      <c r="F46" s="4">
        <f>+IF(FormularioFODA!E50="x",1,0)*F$2</f>
        <v>0</v>
      </c>
      <c r="G46" s="4">
        <f>+IF(FormularioFODA!F50="x",1,0)*G$2</f>
        <v>0</v>
      </c>
      <c r="H46" s="4">
        <f>+IF(FormularioFODA!G50="x",1,0)*H$2</f>
        <v>4</v>
      </c>
      <c r="I46" s="4">
        <f>+IF(FormularioFODA!H50="x",1,0)*I$2</f>
        <v>0</v>
      </c>
      <c r="J46" s="4">
        <f t="shared" si="29"/>
        <v>4</v>
      </c>
      <c r="K46" s="4">
        <f>+IF(FormularioFODA!J50="x",1,0)*K$2</f>
        <v>0</v>
      </c>
      <c r="L46" s="4">
        <f>+IF(FormularioFODA!K50="x",1,0)*L$2</f>
        <v>0</v>
      </c>
      <c r="M46" s="4">
        <f>+IF(FormularioFODA!L50="x",1,0)*M$2</f>
        <v>3</v>
      </c>
      <c r="N46" s="4">
        <f>+IF(FormularioFODA!M50="x",1,0)*N$2</f>
        <v>0</v>
      </c>
      <c r="O46" s="4">
        <f t="shared" si="30"/>
        <v>3</v>
      </c>
      <c r="P46" s="34">
        <f t="shared" si="31"/>
        <v>0.11538461538461539</v>
      </c>
      <c r="Q46" s="59">
        <f t="shared" si="32"/>
        <v>9.2307692307692313E-2</v>
      </c>
      <c r="R46" s="4"/>
      <c r="S46" s="4">
        <v>5</v>
      </c>
      <c r="T46" s="4">
        <f t="shared" si="33"/>
        <v>4</v>
      </c>
      <c r="U46" s="62">
        <f t="shared" si="34"/>
        <v>0.11538461538461539</v>
      </c>
      <c r="V46" s="4">
        <f t="shared" si="35"/>
        <v>80</v>
      </c>
      <c r="W46" s="4">
        <f t="shared" si="36"/>
        <v>79.998999999999995</v>
      </c>
      <c r="X46" s="4">
        <f ca="1">IF(T46=0,0,INDIRECT(ADDRESS(MATCH(W46,Rango!$B$2:$B$101,1)+1,3,1,1,"Rango")))</f>
        <v>5</v>
      </c>
      <c r="Y46" s="4">
        <f ca="1">IF(T46=0,0,INDIRECT(ADDRESS(MATCH(W46,Rango!$B$2:$B$101,1)+2,3,1,1,"Rango")))</f>
        <v>7</v>
      </c>
      <c r="Z46" s="4">
        <f>IF(T46=0,0,VLOOKUP(W46-0.01,Rango!$B$2:$B$101,1))</f>
        <v>60</v>
      </c>
      <c r="AA46" s="4">
        <f ca="1">IF(T46=0,0,INDIRECT(ADDRESS(MATCH(W46,Rango!$B$2:$B$101,1)+2,2,1,1,"Rango")))-Z46</f>
        <v>20</v>
      </c>
      <c r="AB46" s="59">
        <f t="shared" ca="1" si="37"/>
        <v>6.9998999999999993</v>
      </c>
      <c r="AC46" s="4">
        <f t="shared" si="38"/>
        <v>1</v>
      </c>
      <c r="AD46" s="63">
        <f t="shared" ca="1" si="39"/>
        <v>6.9998999999999993</v>
      </c>
      <c r="AE46" s="59">
        <f t="shared" ca="1" si="40"/>
        <v>0.80768076923076915</v>
      </c>
      <c r="AF46" s="4" t="s">
        <v>405</v>
      </c>
      <c r="AG46" s="4"/>
      <c r="AH46" s="4"/>
      <c r="AI46" s="4"/>
    </row>
    <row r="47" spans="1:35" x14ac:dyDescent="0.25">
      <c r="A47" s="4"/>
      <c r="B47" s="4"/>
      <c r="C47" s="4" t="s">
        <v>408</v>
      </c>
      <c r="D47" s="4">
        <v>7</v>
      </c>
      <c r="E47" s="4">
        <f>+IF(FormularioFODA!D51="x",1,0)*E$2</f>
        <v>0</v>
      </c>
      <c r="F47" s="4">
        <f>+IF(FormularioFODA!E51="x",1,0)*F$2</f>
        <v>0</v>
      </c>
      <c r="G47" s="4">
        <f>+IF(FormularioFODA!F51="x",1,0)*G$2</f>
        <v>3</v>
      </c>
      <c r="H47" s="4">
        <f>+IF(FormularioFODA!G51="x",1,0)*H$2</f>
        <v>0</v>
      </c>
      <c r="I47" s="4">
        <f>+IF(FormularioFODA!H51="x",1,0)*I$2</f>
        <v>0</v>
      </c>
      <c r="J47" s="4">
        <f t="shared" si="29"/>
        <v>3</v>
      </c>
      <c r="K47" s="4">
        <f>+IF(FormularioFODA!J51="x",1,0)*K$2</f>
        <v>0</v>
      </c>
      <c r="L47" s="4">
        <f>+IF(FormularioFODA!K51="x",1,0)*L$2</f>
        <v>0</v>
      </c>
      <c r="M47" s="4">
        <f>+IF(FormularioFODA!L51="x",1,0)*M$2</f>
        <v>0</v>
      </c>
      <c r="N47" s="4">
        <f>+IF(FormularioFODA!M51="x",1,0)*N$2</f>
        <v>4</v>
      </c>
      <c r="O47" s="4">
        <f t="shared" si="30"/>
        <v>4</v>
      </c>
      <c r="P47" s="34">
        <f t="shared" si="31"/>
        <v>0.15384615384615385</v>
      </c>
      <c r="Q47" s="59">
        <f t="shared" si="32"/>
        <v>9.2307692307692313E-2</v>
      </c>
      <c r="R47" s="4"/>
      <c r="S47" s="4">
        <v>5</v>
      </c>
      <c r="T47" s="4">
        <f t="shared" si="33"/>
        <v>3</v>
      </c>
      <c r="U47" s="62">
        <f t="shared" si="34"/>
        <v>0.15384615384615385</v>
      </c>
      <c r="V47" s="4">
        <f t="shared" si="35"/>
        <v>60</v>
      </c>
      <c r="W47" s="4">
        <f t="shared" si="36"/>
        <v>59.999000000000002</v>
      </c>
      <c r="X47" s="4">
        <f ca="1">IF(T47=0,0,INDIRECT(ADDRESS(MATCH(W47,Rango!$B$2:$B$101,1)+1,3,1,1,"Rango")))</f>
        <v>3</v>
      </c>
      <c r="Y47" s="4">
        <f ca="1">IF(T47=0,0,INDIRECT(ADDRESS(MATCH(W47,Rango!$B$2:$B$101,1)+2,3,1,1,"Rango")))</f>
        <v>5</v>
      </c>
      <c r="Z47" s="4">
        <f>IF(T47=0,0,VLOOKUP(W47-0.01,Rango!$B$2:$B$101,1))</f>
        <v>40</v>
      </c>
      <c r="AA47" s="4">
        <f ca="1">IF(T47=0,0,INDIRECT(ADDRESS(MATCH(W47,Rango!$B$2:$B$101,1)+2,2,1,1,"Rango")))-Z47</f>
        <v>20</v>
      </c>
      <c r="AB47" s="59">
        <f t="shared" ca="1" si="37"/>
        <v>4.9999000000000002</v>
      </c>
      <c r="AC47" s="4">
        <f t="shared" si="38"/>
        <v>1</v>
      </c>
      <c r="AD47" s="63">
        <f t="shared" ca="1" si="39"/>
        <v>4.9999000000000002</v>
      </c>
      <c r="AE47" s="59">
        <f t="shared" ca="1" si="40"/>
        <v>0.76921538461538475</v>
      </c>
      <c r="AF47" s="4" t="s">
        <v>409</v>
      </c>
      <c r="AG47" s="4"/>
      <c r="AH47" s="4"/>
      <c r="AI47" s="4"/>
    </row>
    <row r="48" spans="1:35" x14ac:dyDescent="0.25">
      <c r="A48" s="4"/>
      <c r="B48" s="4"/>
      <c r="C48" s="4" t="s">
        <v>412</v>
      </c>
      <c r="D48" s="4">
        <v>8</v>
      </c>
      <c r="E48" s="4">
        <f>+IF(FormularioFODA!D52="x",1,0)*E$2</f>
        <v>0</v>
      </c>
      <c r="F48" s="4">
        <f>+IF(FormularioFODA!E52="x",1,0)*F$2</f>
        <v>0</v>
      </c>
      <c r="G48" s="4">
        <f>+IF(FormularioFODA!F52="x",1,0)*G$2</f>
        <v>0</v>
      </c>
      <c r="H48" s="4">
        <f>+IF(FormularioFODA!G52="x",1,0)*H$2</f>
        <v>4</v>
      </c>
      <c r="I48" s="4">
        <f>+IF(FormularioFODA!H52="x",1,0)*I$2</f>
        <v>0</v>
      </c>
      <c r="J48" s="4">
        <f t="shared" si="29"/>
        <v>4</v>
      </c>
      <c r="K48" s="4">
        <f>+IF(FormularioFODA!J52="x",1,0)*K$2</f>
        <v>0</v>
      </c>
      <c r="L48" s="4">
        <f>+IF(FormularioFODA!K52="x",1,0)*L$2</f>
        <v>0</v>
      </c>
      <c r="M48" s="4">
        <f>+IF(FormularioFODA!L52="x",1,0)*M$2</f>
        <v>0</v>
      </c>
      <c r="N48" s="4">
        <f>+IF(FormularioFODA!M52="x",1,0)*N$2</f>
        <v>4</v>
      </c>
      <c r="O48" s="4">
        <f t="shared" si="30"/>
        <v>4</v>
      </c>
      <c r="P48" s="34">
        <f t="shared" si="31"/>
        <v>0.15384615384615385</v>
      </c>
      <c r="Q48" s="59">
        <f t="shared" si="32"/>
        <v>0.12307692307692308</v>
      </c>
      <c r="R48" s="4"/>
      <c r="S48" s="4">
        <v>5</v>
      </c>
      <c r="T48" s="4">
        <f t="shared" si="33"/>
        <v>4</v>
      </c>
      <c r="U48" s="62">
        <f t="shared" si="34"/>
        <v>0.15384615384615385</v>
      </c>
      <c r="V48" s="4">
        <f t="shared" si="35"/>
        <v>80</v>
      </c>
      <c r="W48" s="4">
        <f t="shared" si="36"/>
        <v>79.998999999999995</v>
      </c>
      <c r="X48" s="4">
        <f ca="1">IF(T48=0,0,INDIRECT(ADDRESS(MATCH(W48,Rango!$B$2:$B$101,1)+1,3,1,1,"Rango")))</f>
        <v>5</v>
      </c>
      <c r="Y48" s="4">
        <f ca="1">IF(T48=0,0,INDIRECT(ADDRESS(MATCH(W48,Rango!$B$2:$B$101,1)+2,3,1,1,"Rango")))</f>
        <v>7</v>
      </c>
      <c r="Z48" s="4">
        <f>IF(T48=0,0,VLOOKUP(W48-0.01,Rango!$B$2:$B$101,1))</f>
        <v>60</v>
      </c>
      <c r="AA48" s="4">
        <f ca="1">IF(T48=0,0,INDIRECT(ADDRESS(MATCH(W48,Rango!$B$2:$B$101,1)+2,2,1,1,"Rango")))-Z48</f>
        <v>20</v>
      </c>
      <c r="AB48" s="59">
        <f t="shared" ca="1" si="37"/>
        <v>6.9998999999999993</v>
      </c>
      <c r="AC48" s="4">
        <f t="shared" si="38"/>
        <v>1</v>
      </c>
      <c r="AD48" s="63">
        <f t="shared" ca="1" si="39"/>
        <v>6.9998999999999993</v>
      </c>
      <c r="AE48" s="59">
        <f t="shared" ca="1" si="40"/>
        <v>1.0769076923076923</v>
      </c>
      <c r="AF48" s="4" t="s">
        <v>413</v>
      </c>
      <c r="AG48" s="4"/>
      <c r="AH48" s="4"/>
      <c r="AI48" s="4"/>
    </row>
    <row r="49" spans="1:35" x14ac:dyDescent="0.25">
      <c r="A49" s="4"/>
      <c r="B49" s="12" t="s">
        <v>820</v>
      </c>
      <c r="C49" s="4"/>
      <c r="D49" s="4"/>
      <c r="E49" s="12">
        <f t="shared" ref="E49:Q49" si="41">SUM(E41:E48)</f>
        <v>0</v>
      </c>
      <c r="F49" s="12">
        <f t="shared" si="41"/>
        <v>0</v>
      </c>
      <c r="G49" s="12">
        <f t="shared" si="41"/>
        <v>9</v>
      </c>
      <c r="H49" s="12">
        <f t="shared" si="41"/>
        <v>20</v>
      </c>
      <c r="I49" s="12">
        <f t="shared" si="41"/>
        <v>0</v>
      </c>
      <c r="J49" s="12">
        <f t="shared" si="41"/>
        <v>29</v>
      </c>
      <c r="K49" s="12">
        <f t="shared" si="41"/>
        <v>1</v>
      </c>
      <c r="L49" s="12">
        <f t="shared" si="41"/>
        <v>0</v>
      </c>
      <c r="M49" s="12">
        <f t="shared" si="41"/>
        <v>9</v>
      </c>
      <c r="N49" s="12">
        <f t="shared" si="41"/>
        <v>16</v>
      </c>
      <c r="O49" s="12">
        <f t="shared" si="41"/>
        <v>26</v>
      </c>
      <c r="P49" s="60">
        <f t="shared" si="41"/>
        <v>1</v>
      </c>
      <c r="Q49" s="61">
        <f t="shared" si="41"/>
        <v>0.7153846153846154</v>
      </c>
      <c r="R49" s="4"/>
      <c r="S49" s="4">
        <f>SUM(S41:S48)</f>
        <v>40</v>
      </c>
      <c r="T49" s="4"/>
      <c r="U49" s="62"/>
      <c r="V49" s="4"/>
      <c r="W49" s="4"/>
      <c r="X49" s="4"/>
      <c r="Y49" s="4"/>
      <c r="Z49" s="4"/>
      <c r="AA49" s="4"/>
      <c r="AB49" s="59"/>
      <c r="AC49" s="4"/>
      <c r="AD49" s="63"/>
      <c r="AE49" s="68">
        <f ca="1">SUM(AE41:AE48)</f>
        <v>6.1537461538461544</v>
      </c>
      <c r="AF49" s="4"/>
      <c r="AG49" s="4"/>
      <c r="AH49" s="4"/>
      <c r="AI49" s="4"/>
    </row>
    <row r="50" spans="1:35" x14ac:dyDescent="0.25">
      <c r="A50" s="4"/>
      <c r="B50" s="4"/>
      <c r="C50" s="4"/>
      <c r="D50" s="4"/>
      <c r="E50" s="4"/>
      <c r="F50" s="4"/>
      <c r="G50" s="4"/>
      <c r="H50" s="4"/>
      <c r="I50" s="4"/>
      <c r="J50" s="4"/>
      <c r="K50" s="4"/>
      <c r="L50" s="4"/>
      <c r="M50" s="4"/>
      <c r="N50" s="4"/>
      <c r="O50" s="4"/>
      <c r="P50" s="34"/>
      <c r="Q50" s="59"/>
      <c r="R50" s="4"/>
      <c r="S50" s="4"/>
      <c r="T50" s="4"/>
      <c r="U50" s="62"/>
      <c r="V50" s="4"/>
      <c r="W50" s="4"/>
      <c r="X50" s="4"/>
      <c r="Y50" s="4"/>
      <c r="Z50" s="4"/>
      <c r="AA50" s="4"/>
      <c r="AB50" s="59"/>
      <c r="AC50" s="4"/>
      <c r="AD50" s="63"/>
      <c r="AE50" s="59"/>
      <c r="AF50" s="4"/>
      <c r="AG50" s="4"/>
      <c r="AH50" s="4"/>
      <c r="AI50" s="4"/>
    </row>
    <row r="51" spans="1:35" x14ac:dyDescent="0.25">
      <c r="A51" s="4"/>
      <c r="B51" s="4" t="str">
        <f>+FormularioFODA!B54</f>
        <v>Actividades Clave</v>
      </c>
      <c r="C51" s="4" t="s">
        <v>416</v>
      </c>
      <c r="D51" s="4">
        <v>1</v>
      </c>
      <c r="E51" s="4">
        <f>+IF(FormularioFODA!D55="x",1,0)*E$2</f>
        <v>0</v>
      </c>
      <c r="F51" s="4">
        <f>+IF(FormularioFODA!E55="x",1,0)*F$2</f>
        <v>0</v>
      </c>
      <c r="G51" s="4">
        <f>+IF(FormularioFODA!F55="x",1,0)*G$2</f>
        <v>3</v>
      </c>
      <c r="H51" s="4">
        <f>+IF(FormularioFODA!G55="x",1,0)*H$2</f>
        <v>0</v>
      </c>
      <c r="I51" s="4">
        <f>+IF(FormularioFODA!H55="x",1,0)*I$2</f>
        <v>0</v>
      </c>
      <c r="J51" s="4">
        <f t="shared" ref="J51:J59" si="42">SUM(E51:I51)</f>
        <v>3</v>
      </c>
      <c r="K51" s="4">
        <f>+IF(FormularioFODA!J55="x",1,0)*K$2</f>
        <v>0</v>
      </c>
      <c r="L51" s="4">
        <f>+IF(FormularioFODA!K55="x",1,0)*L$2</f>
        <v>0</v>
      </c>
      <c r="M51" s="4">
        <f>+IF(FormularioFODA!L55="x",1,0)*M$2</f>
        <v>0</v>
      </c>
      <c r="N51" s="4">
        <f>+IF(FormularioFODA!M55="x",1,0)*N$2</f>
        <v>4</v>
      </c>
      <c r="O51" s="4">
        <f t="shared" ref="O51:O59" si="43">SUM(K51:N51)</f>
        <v>4</v>
      </c>
      <c r="P51" s="34">
        <f t="shared" ref="P51:P59" si="44">IF($O$60=0,0,O51/$O$60)</f>
        <v>0.14814814814814814</v>
      </c>
      <c r="Q51" s="59">
        <f t="shared" ref="Q51:Q59" si="45">+(J51/$I$2)*P51</f>
        <v>8.8888888888888878E-2</v>
      </c>
      <c r="R51" s="4"/>
      <c r="S51" s="4">
        <v>5</v>
      </c>
      <c r="T51" s="4">
        <f t="shared" ref="T51:T59" si="46">+J51</f>
        <v>3</v>
      </c>
      <c r="U51" s="62">
        <f t="shared" ref="U51:U59" si="47">+P51</f>
        <v>0.14814814814814814</v>
      </c>
      <c r="V51" s="4">
        <f t="shared" ref="V51:V59" si="48">IF(ISERROR(T51/S51*100-IF(T51/S51&lt;0,100,0)),0,T51/S51*100-IF(T51/S51&lt;0,100,0))</f>
        <v>60</v>
      </c>
      <c r="W51" s="4">
        <f t="shared" ref="W51:W59" si="49">ABS(V51)-0.001</f>
        <v>59.999000000000002</v>
      </c>
      <c r="X51" s="4">
        <f ca="1">IF(T51=0,0,INDIRECT(ADDRESS(MATCH(W51,Rango!$B$2:$B$101,1)+1,3,1,1,"Rango")))</f>
        <v>3</v>
      </c>
      <c r="Y51" s="4">
        <f ca="1">IF(T51=0,0,INDIRECT(ADDRESS(MATCH(W51,Rango!$B$2:$B$101,1)+2,3,1,1,"Rango")))</f>
        <v>5</v>
      </c>
      <c r="Z51" s="4">
        <f>IF(T51=0,0,VLOOKUP(W51-0.01,Rango!$B$2:$B$101,1))</f>
        <v>40</v>
      </c>
      <c r="AA51" s="4">
        <f ca="1">IF(T51=0,0,INDIRECT(ADDRESS(MATCH(W51,Rango!$B$2:$B$101,1)+2,2,1,1,"Rango")))-Z51</f>
        <v>20</v>
      </c>
      <c r="AB51" s="59">
        <f t="shared" ref="AB51:AB59" ca="1" si="50">IF(AND(Y51=0,X51&lt;&gt;0),X51,IF(AA51=0,0,X51+((W51-Z51)*(Y51-X51))/AA51))</f>
        <v>4.9999000000000002</v>
      </c>
      <c r="AC51" s="4">
        <f t="shared" ref="AC51:AC59" si="51">IF(V51&gt;0,1)+(IF(V51&lt;0,-1))</f>
        <v>1</v>
      </c>
      <c r="AD51" s="63">
        <f t="shared" ref="AD51:AD59" ca="1" si="52">AB51*AC51</f>
        <v>4.9999000000000002</v>
      </c>
      <c r="AE51" s="59">
        <f t="shared" ref="AE51:AE59" ca="1" si="53">AD51*U51</f>
        <v>0.7407259259259259</v>
      </c>
      <c r="AF51" s="4" t="s">
        <v>417</v>
      </c>
      <c r="AG51" s="4"/>
      <c r="AH51" s="4"/>
      <c r="AI51" s="4"/>
    </row>
    <row r="52" spans="1:35" x14ac:dyDescent="0.25">
      <c r="A52" s="4"/>
      <c r="B52" s="4"/>
      <c r="C52" s="4" t="s">
        <v>421</v>
      </c>
      <c r="D52" s="4">
        <v>2</v>
      </c>
      <c r="E52" s="4">
        <f>+IF(FormularioFODA!D56="x",1,0)*E$2</f>
        <v>0</v>
      </c>
      <c r="F52" s="4">
        <f>+IF(FormularioFODA!E56="x",1,0)*F$2</f>
        <v>0</v>
      </c>
      <c r="G52" s="4">
        <f>+IF(FormularioFODA!F56="x",1,0)*G$2</f>
        <v>0</v>
      </c>
      <c r="H52" s="4">
        <f>+IF(FormularioFODA!G56="x",1,0)*H$2</f>
        <v>4</v>
      </c>
      <c r="I52" s="4">
        <f>+IF(FormularioFODA!H56="x",1,0)*I$2</f>
        <v>0</v>
      </c>
      <c r="J52" s="4">
        <f t="shared" si="42"/>
        <v>4</v>
      </c>
      <c r="K52" s="4">
        <f>+IF(FormularioFODA!J56="x",1,0)*K$2</f>
        <v>0</v>
      </c>
      <c r="L52" s="4">
        <f>+IF(FormularioFODA!K56="x",1,0)*L$2</f>
        <v>0</v>
      </c>
      <c r="M52" s="4">
        <f>+IF(FormularioFODA!L56="x",1,0)*M$2</f>
        <v>3</v>
      </c>
      <c r="N52" s="4">
        <f>+IF(FormularioFODA!M56="x",1,0)*N$2</f>
        <v>0</v>
      </c>
      <c r="O52" s="4">
        <f t="shared" si="43"/>
        <v>3</v>
      </c>
      <c r="P52" s="34">
        <f t="shared" si="44"/>
        <v>0.1111111111111111</v>
      </c>
      <c r="Q52" s="59">
        <f t="shared" si="45"/>
        <v>8.8888888888888892E-2</v>
      </c>
      <c r="R52" s="4"/>
      <c r="S52" s="4">
        <v>5</v>
      </c>
      <c r="T52" s="4">
        <f t="shared" si="46"/>
        <v>4</v>
      </c>
      <c r="U52" s="62">
        <f t="shared" si="47"/>
        <v>0.1111111111111111</v>
      </c>
      <c r="V52" s="4">
        <f t="shared" si="48"/>
        <v>80</v>
      </c>
      <c r="W52" s="4">
        <f t="shared" si="49"/>
        <v>79.998999999999995</v>
      </c>
      <c r="X52" s="4">
        <f ca="1">IF(T52=0,0,INDIRECT(ADDRESS(MATCH(W52,Rango!$B$2:$B$101,1)+1,3,1,1,"Rango")))</f>
        <v>5</v>
      </c>
      <c r="Y52" s="4">
        <f ca="1">IF(T52=0,0,INDIRECT(ADDRESS(MATCH(W52,Rango!$B$2:$B$101,1)+2,3,1,1,"Rango")))</f>
        <v>7</v>
      </c>
      <c r="Z52" s="4">
        <f>IF(T52=0,0,VLOOKUP(W52-0.01,Rango!$B$2:$B$101,1))</f>
        <v>60</v>
      </c>
      <c r="AA52" s="4">
        <f ca="1">IF(T52=0,0,INDIRECT(ADDRESS(MATCH(W52,Rango!$B$2:$B$101,1)+2,2,1,1,"Rango")))-Z52</f>
        <v>20</v>
      </c>
      <c r="AB52" s="59">
        <f t="shared" ca="1" si="50"/>
        <v>6.9998999999999993</v>
      </c>
      <c r="AC52" s="4">
        <f t="shared" si="51"/>
        <v>1</v>
      </c>
      <c r="AD52" s="63">
        <f t="shared" ca="1" si="52"/>
        <v>6.9998999999999993</v>
      </c>
      <c r="AE52" s="59">
        <f t="shared" ca="1" si="53"/>
        <v>0.7777666666666665</v>
      </c>
      <c r="AF52" s="4" t="s">
        <v>422</v>
      </c>
      <c r="AG52" s="4"/>
      <c r="AH52" s="4"/>
      <c r="AI52" s="4"/>
    </row>
    <row r="53" spans="1:35" x14ac:dyDescent="0.25">
      <c r="A53" s="4"/>
      <c r="B53" s="4"/>
      <c r="C53" s="4" t="s">
        <v>425</v>
      </c>
      <c r="D53" s="4">
        <v>3</v>
      </c>
      <c r="E53" s="4">
        <f>+IF(FormularioFODA!D57="x",1,0)*E$2</f>
        <v>0</v>
      </c>
      <c r="F53" s="4">
        <f>+IF(FormularioFODA!E57="x",1,0)*F$2</f>
        <v>0</v>
      </c>
      <c r="G53" s="4">
        <f>+IF(FormularioFODA!F57="x",1,0)*G$2</f>
        <v>0</v>
      </c>
      <c r="H53" s="4">
        <f>+IF(FormularioFODA!G57="x",1,0)*H$2</f>
        <v>4</v>
      </c>
      <c r="I53" s="4">
        <f>+IF(FormularioFODA!H57="x",1,0)*I$2</f>
        <v>0</v>
      </c>
      <c r="J53" s="4">
        <f t="shared" si="42"/>
        <v>4</v>
      </c>
      <c r="K53" s="4">
        <f>+IF(FormularioFODA!J57="x",1,0)*K$2</f>
        <v>0</v>
      </c>
      <c r="L53" s="4">
        <f>+IF(FormularioFODA!K57="x",1,0)*L$2</f>
        <v>0</v>
      </c>
      <c r="M53" s="4">
        <f>+IF(FormularioFODA!L57="x",1,0)*M$2</f>
        <v>3</v>
      </c>
      <c r="N53" s="4">
        <f>+IF(FormularioFODA!M57="x",1,0)*N$2</f>
        <v>0</v>
      </c>
      <c r="O53" s="4">
        <f t="shared" si="43"/>
        <v>3</v>
      </c>
      <c r="P53" s="34">
        <f t="shared" si="44"/>
        <v>0.1111111111111111</v>
      </c>
      <c r="Q53" s="59">
        <f t="shared" si="45"/>
        <v>8.8888888888888892E-2</v>
      </c>
      <c r="R53" s="4"/>
      <c r="S53" s="4">
        <v>5</v>
      </c>
      <c r="T53" s="4">
        <f t="shared" si="46"/>
        <v>4</v>
      </c>
      <c r="U53" s="62">
        <f t="shared" si="47"/>
        <v>0.1111111111111111</v>
      </c>
      <c r="V53" s="4">
        <f t="shared" si="48"/>
        <v>80</v>
      </c>
      <c r="W53" s="4">
        <f t="shared" si="49"/>
        <v>79.998999999999995</v>
      </c>
      <c r="X53" s="4">
        <f ca="1">IF(T53=0,0,INDIRECT(ADDRESS(MATCH(W53,Rango!$B$2:$B$101,1)+1,3,1,1,"Rango")))</f>
        <v>5</v>
      </c>
      <c r="Y53" s="4">
        <f ca="1">IF(T53=0,0,INDIRECT(ADDRESS(MATCH(W53,Rango!$B$2:$B$101,1)+2,3,1,1,"Rango")))</f>
        <v>7</v>
      </c>
      <c r="Z53" s="4">
        <f>IF(T53=0,0,VLOOKUP(W53-0.01,Rango!$B$2:$B$101,1))</f>
        <v>60</v>
      </c>
      <c r="AA53" s="4">
        <f ca="1">IF(T53=0,0,INDIRECT(ADDRESS(MATCH(W53,Rango!$B$2:$B$101,1)+2,2,1,1,"Rango")))-Z53</f>
        <v>20</v>
      </c>
      <c r="AB53" s="59">
        <f t="shared" ca="1" si="50"/>
        <v>6.9998999999999993</v>
      </c>
      <c r="AC53" s="4">
        <f t="shared" si="51"/>
        <v>1</v>
      </c>
      <c r="AD53" s="63">
        <f t="shared" ca="1" si="52"/>
        <v>6.9998999999999993</v>
      </c>
      <c r="AE53" s="59">
        <f t="shared" ca="1" si="53"/>
        <v>0.7777666666666665</v>
      </c>
      <c r="AF53" s="4" t="s">
        <v>426</v>
      </c>
      <c r="AG53" s="4"/>
      <c r="AH53" s="4"/>
      <c r="AI53" s="4"/>
    </row>
    <row r="54" spans="1:35" x14ac:dyDescent="0.25">
      <c r="A54" s="4"/>
      <c r="B54" s="4"/>
      <c r="C54" s="4" t="s">
        <v>429</v>
      </c>
      <c r="D54" s="4">
        <v>4</v>
      </c>
      <c r="E54" s="4">
        <f>+IF(FormularioFODA!D58="x",1,0)*E$2</f>
        <v>0</v>
      </c>
      <c r="F54" s="4">
        <f>+IF(FormularioFODA!E58="x",1,0)*F$2</f>
        <v>0</v>
      </c>
      <c r="G54" s="4">
        <f>+IF(FormularioFODA!F58="x",1,0)*G$2</f>
        <v>3</v>
      </c>
      <c r="H54" s="4">
        <f>+IF(FormularioFODA!G58="x",1,0)*H$2</f>
        <v>0</v>
      </c>
      <c r="I54" s="4">
        <f>+IF(FormularioFODA!H58="x",1,0)*I$2</f>
        <v>0</v>
      </c>
      <c r="J54" s="4">
        <f t="shared" si="42"/>
        <v>3</v>
      </c>
      <c r="K54" s="4">
        <f>+IF(FormularioFODA!J58="x",1,0)*K$2</f>
        <v>0</v>
      </c>
      <c r="L54" s="4">
        <f>+IF(FormularioFODA!K58="x",1,0)*L$2</f>
        <v>0</v>
      </c>
      <c r="M54" s="4">
        <f>+IF(FormularioFODA!L58="x",1,0)*M$2</f>
        <v>0</v>
      </c>
      <c r="N54" s="4">
        <f>+IF(FormularioFODA!M58="x",1,0)*N$2</f>
        <v>4</v>
      </c>
      <c r="O54" s="4">
        <f t="shared" si="43"/>
        <v>4</v>
      </c>
      <c r="P54" s="34">
        <f t="shared" si="44"/>
        <v>0.14814814814814814</v>
      </c>
      <c r="Q54" s="59">
        <f t="shared" si="45"/>
        <v>8.8888888888888878E-2</v>
      </c>
      <c r="R54" s="4"/>
      <c r="S54" s="4">
        <v>5</v>
      </c>
      <c r="T54" s="4">
        <f t="shared" si="46"/>
        <v>3</v>
      </c>
      <c r="U54" s="62">
        <f t="shared" si="47"/>
        <v>0.14814814814814814</v>
      </c>
      <c r="V54" s="4">
        <f t="shared" si="48"/>
        <v>60</v>
      </c>
      <c r="W54" s="4">
        <f t="shared" si="49"/>
        <v>59.999000000000002</v>
      </c>
      <c r="X54" s="4">
        <f ca="1">IF(T54=0,0,INDIRECT(ADDRESS(MATCH(W54,Rango!$B$2:$B$101,1)+1,3,1,1,"Rango")))</f>
        <v>3</v>
      </c>
      <c r="Y54" s="4">
        <f ca="1">IF(T54=0,0,INDIRECT(ADDRESS(MATCH(W54,Rango!$B$2:$B$101,1)+2,3,1,1,"Rango")))</f>
        <v>5</v>
      </c>
      <c r="Z54" s="4">
        <f>IF(T54=0,0,VLOOKUP(W54-0.01,Rango!$B$2:$B$101,1))</f>
        <v>40</v>
      </c>
      <c r="AA54" s="4">
        <f ca="1">IF(T54=0,0,INDIRECT(ADDRESS(MATCH(W54,Rango!$B$2:$B$101,1)+2,2,1,1,"Rango")))-Z54</f>
        <v>20</v>
      </c>
      <c r="AB54" s="59">
        <f t="shared" ca="1" si="50"/>
        <v>4.9999000000000002</v>
      </c>
      <c r="AC54" s="4">
        <f t="shared" si="51"/>
        <v>1</v>
      </c>
      <c r="AD54" s="63">
        <f t="shared" ca="1" si="52"/>
        <v>4.9999000000000002</v>
      </c>
      <c r="AE54" s="59">
        <f t="shared" ca="1" si="53"/>
        <v>0.7407259259259259</v>
      </c>
      <c r="AF54" s="4" t="s">
        <v>430</v>
      </c>
      <c r="AG54" s="4"/>
      <c r="AH54" s="4"/>
      <c r="AI54" s="4"/>
    </row>
    <row r="55" spans="1:35" x14ac:dyDescent="0.25">
      <c r="A55" s="4"/>
      <c r="B55" s="4"/>
      <c r="C55" s="4" t="s">
        <v>433</v>
      </c>
      <c r="D55" s="4">
        <v>5</v>
      </c>
      <c r="E55" s="4">
        <f>+IF(FormularioFODA!D59="x",1,0)*E$2</f>
        <v>0</v>
      </c>
      <c r="F55" s="4">
        <f>+IF(FormularioFODA!E59="x",1,0)*F$2</f>
        <v>0</v>
      </c>
      <c r="G55" s="4">
        <f>+IF(FormularioFODA!F59="x",1,0)*G$2</f>
        <v>3</v>
      </c>
      <c r="H55" s="4">
        <f>+IF(FormularioFODA!G59="x",1,0)*H$2</f>
        <v>0</v>
      </c>
      <c r="I55" s="4">
        <f>+IF(FormularioFODA!H59="x",1,0)*I$2</f>
        <v>0</v>
      </c>
      <c r="J55" s="4">
        <f t="shared" si="42"/>
        <v>3</v>
      </c>
      <c r="K55" s="4">
        <f>+IF(FormularioFODA!J59="x",1,0)*K$2</f>
        <v>0</v>
      </c>
      <c r="L55" s="4">
        <f>+IF(FormularioFODA!K59="x",1,0)*L$2</f>
        <v>0</v>
      </c>
      <c r="M55" s="4">
        <f>+IF(FormularioFODA!L59="x",1,0)*M$2</f>
        <v>3</v>
      </c>
      <c r="N55" s="4">
        <f>+IF(FormularioFODA!M59="x",1,0)*N$2</f>
        <v>0</v>
      </c>
      <c r="O55" s="4">
        <f t="shared" si="43"/>
        <v>3</v>
      </c>
      <c r="P55" s="34">
        <f t="shared" si="44"/>
        <v>0.1111111111111111</v>
      </c>
      <c r="Q55" s="59">
        <f t="shared" si="45"/>
        <v>6.6666666666666666E-2</v>
      </c>
      <c r="R55" s="4"/>
      <c r="S55" s="4">
        <v>5</v>
      </c>
      <c r="T55" s="4">
        <f t="shared" si="46"/>
        <v>3</v>
      </c>
      <c r="U55" s="62">
        <f t="shared" si="47"/>
        <v>0.1111111111111111</v>
      </c>
      <c r="V55" s="4">
        <f t="shared" si="48"/>
        <v>60</v>
      </c>
      <c r="W55" s="4">
        <f t="shared" si="49"/>
        <v>59.999000000000002</v>
      </c>
      <c r="X55" s="4">
        <f ca="1">IF(T55=0,0,INDIRECT(ADDRESS(MATCH(W55,Rango!$B$2:$B$101,1)+1,3,1,1,"Rango")))</f>
        <v>3</v>
      </c>
      <c r="Y55" s="4">
        <f ca="1">IF(T55=0,0,INDIRECT(ADDRESS(MATCH(W55,Rango!$B$2:$B$101,1)+2,3,1,1,"Rango")))</f>
        <v>5</v>
      </c>
      <c r="Z55" s="4">
        <f>IF(T55=0,0,VLOOKUP(W55-0.01,Rango!$B$2:$B$101,1))</f>
        <v>40</v>
      </c>
      <c r="AA55" s="4">
        <f ca="1">IF(T55=0,0,INDIRECT(ADDRESS(MATCH(W55,Rango!$B$2:$B$101,1)+2,2,1,1,"Rango")))-Z55</f>
        <v>20</v>
      </c>
      <c r="AB55" s="59">
        <f t="shared" ca="1" si="50"/>
        <v>4.9999000000000002</v>
      </c>
      <c r="AC55" s="4">
        <f t="shared" si="51"/>
        <v>1</v>
      </c>
      <c r="AD55" s="63">
        <f t="shared" ca="1" si="52"/>
        <v>4.9999000000000002</v>
      </c>
      <c r="AE55" s="59">
        <f t="shared" ca="1" si="53"/>
        <v>0.5555444444444444</v>
      </c>
      <c r="AF55" s="4" t="s">
        <v>434</v>
      </c>
      <c r="AG55" s="4"/>
      <c r="AH55" s="4"/>
      <c r="AI55" s="4"/>
    </row>
    <row r="56" spans="1:35" x14ac:dyDescent="0.25">
      <c r="A56" s="4"/>
      <c r="B56" s="4"/>
      <c r="C56" s="4" t="s">
        <v>437</v>
      </c>
      <c r="D56" s="4">
        <v>6</v>
      </c>
      <c r="E56" s="4">
        <f>+IF(FormularioFODA!D60="x",1,0)*E$2</f>
        <v>0</v>
      </c>
      <c r="F56" s="4">
        <f>+IF(FormularioFODA!E60="x",1,0)*F$2</f>
        <v>0</v>
      </c>
      <c r="G56" s="4">
        <f>+IF(FormularioFODA!F60="x",1,0)*G$2</f>
        <v>0</v>
      </c>
      <c r="H56" s="4">
        <f>+IF(FormularioFODA!G60="x",1,0)*H$2</f>
        <v>4</v>
      </c>
      <c r="I56" s="4">
        <f>+IF(FormularioFODA!H60="x",1,0)*I$2</f>
        <v>0</v>
      </c>
      <c r="J56" s="4">
        <f t="shared" si="42"/>
        <v>4</v>
      </c>
      <c r="K56" s="4">
        <f>+IF(FormularioFODA!J60="x",1,0)*K$2</f>
        <v>1</v>
      </c>
      <c r="L56" s="4">
        <f>+IF(FormularioFODA!K60="x",1,0)*L$2</f>
        <v>0</v>
      </c>
      <c r="M56" s="4">
        <f>+IF(FormularioFODA!L60="x",1,0)*M$2</f>
        <v>0</v>
      </c>
      <c r="N56" s="4">
        <f>+IF(FormularioFODA!M60="x",1,0)*N$2</f>
        <v>0</v>
      </c>
      <c r="O56" s="4">
        <f t="shared" si="43"/>
        <v>1</v>
      </c>
      <c r="P56" s="34">
        <f t="shared" si="44"/>
        <v>3.7037037037037035E-2</v>
      </c>
      <c r="Q56" s="59">
        <f t="shared" si="45"/>
        <v>2.9629629629629631E-2</v>
      </c>
      <c r="R56" s="4"/>
      <c r="S56" s="4">
        <v>5</v>
      </c>
      <c r="T56" s="4">
        <f t="shared" si="46"/>
        <v>4</v>
      </c>
      <c r="U56" s="62">
        <f t="shared" si="47"/>
        <v>3.7037037037037035E-2</v>
      </c>
      <c r="V56" s="4">
        <f t="shared" si="48"/>
        <v>80</v>
      </c>
      <c r="W56" s="4">
        <f t="shared" si="49"/>
        <v>79.998999999999995</v>
      </c>
      <c r="X56" s="4">
        <f ca="1">IF(T56=0,0,INDIRECT(ADDRESS(MATCH(W56,Rango!$B$2:$B$101,1)+1,3,1,1,"Rango")))</f>
        <v>5</v>
      </c>
      <c r="Y56" s="4">
        <f ca="1">IF(T56=0,0,INDIRECT(ADDRESS(MATCH(W56,Rango!$B$2:$B$101,1)+2,3,1,1,"Rango")))</f>
        <v>7</v>
      </c>
      <c r="Z56" s="4">
        <f>IF(T56=0,0,VLOOKUP(W56-0.01,Rango!$B$2:$B$101,1))</f>
        <v>60</v>
      </c>
      <c r="AA56" s="4">
        <f ca="1">IF(T56=0,0,INDIRECT(ADDRESS(MATCH(W56,Rango!$B$2:$B$101,1)+2,2,1,1,"Rango")))-Z56</f>
        <v>20</v>
      </c>
      <c r="AB56" s="59">
        <f t="shared" ca="1" si="50"/>
        <v>6.9998999999999993</v>
      </c>
      <c r="AC56" s="4">
        <f t="shared" si="51"/>
        <v>1</v>
      </c>
      <c r="AD56" s="63">
        <f t="shared" ca="1" si="52"/>
        <v>6.9998999999999993</v>
      </c>
      <c r="AE56" s="59">
        <f t="shared" ca="1" si="53"/>
        <v>0.25925555555555552</v>
      </c>
      <c r="AF56" s="4" t="s">
        <v>438</v>
      </c>
      <c r="AG56" s="4"/>
      <c r="AH56" s="4"/>
      <c r="AI56" s="4"/>
    </row>
    <row r="57" spans="1:35" x14ac:dyDescent="0.25">
      <c r="A57" s="4"/>
      <c r="B57" s="4"/>
      <c r="C57" s="4" t="s">
        <v>441</v>
      </c>
      <c r="D57" s="4">
        <v>7</v>
      </c>
      <c r="E57" s="4">
        <f>+IF(FormularioFODA!D61="x",1,0)*E$2</f>
        <v>0</v>
      </c>
      <c r="F57" s="4">
        <f>+IF(FormularioFODA!E61="x",1,0)*F$2</f>
        <v>0</v>
      </c>
      <c r="G57" s="4">
        <f>+IF(FormularioFODA!F61="x",1,0)*G$2</f>
        <v>3</v>
      </c>
      <c r="H57" s="4">
        <f>+IF(FormularioFODA!G61="x",1,0)*H$2</f>
        <v>0</v>
      </c>
      <c r="I57" s="4">
        <f>+IF(FormularioFODA!H61="x",1,0)*I$2</f>
        <v>0</v>
      </c>
      <c r="J57" s="4">
        <f t="shared" si="42"/>
        <v>3</v>
      </c>
      <c r="K57" s="4">
        <f>+IF(FormularioFODA!J61="x",1,0)*K$2</f>
        <v>0</v>
      </c>
      <c r="L57" s="4">
        <f>+IF(FormularioFODA!K61="x",1,0)*L$2</f>
        <v>0</v>
      </c>
      <c r="M57" s="4">
        <f>+IF(FormularioFODA!L61="x",1,0)*M$2</f>
        <v>3</v>
      </c>
      <c r="N57" s="4">
        <f>+IF(FormularioFODA!M61="x",1,0)*N$2</f>
        <v>0</v>
      </c>
      <c r="O57" s="4">
        <f t="shared" si="43"/>
        <v>3</v>
      </c>
      <c r="P57" s="34">
        <f t="shared" si="44"/>
        <v>0.1111111111111111</v>
      </c>
      <c r="Q57" s="59">
        <f t="shared" si="45"/>
        <v>6.6666666666666666E-2</v>
      </c>
      <c r="R57" s="4"/>
      <c r="S57" s="4">
        <v>5</v>
      </c>
      <c r="T57" s="4">
        <f t="shared" si="46"/>
        <v>3</v>
      </c>
      <c r="U57" s="62">
        <f t="shared" si="47"/>
        <v>0.1111111111111111</v>
      </c>
      <c r="V57" s="4">
        <f t="shared" si="48"/>
        <v>60</v>
      </c>
      <c r="W57" s="4">
        <f t="shared" si="49"/>
        <v>59.999000000000002</v>
      </c>
      <c r="X57" s="4">
        <f ca="1">IF(T57=0,0,INDIRECT(ADDRESS(MATCH(W57,Rango!$B$2:$B$101,1)+1,3,1,1,"Rango")))</f>
        <v>3</v>
      </c>
      <c r="Y57" s="4">
        <f ca="1">IF(T57=0,0,INDIRECT(ADDRESS(MATCH(W57,Rango!$B$2:$B$101,1)+2,3,1,1,"Rango")))</f>
        <v>5</v>
      </c>
      <c r="Z57" s="4">
        <f>IF(T57=0,0,VLOOKUP(W57-0.01,Rango!$B$2:$B$101,1))</f>
        <v>40</v>
      </c>
      <c r="AA57" s="4">
        <f ca="1">IF(T57=0,0,INDIRECT(ADDRESS(MATCH(W57,Rango!$B$2:$B$101,1)+2,2,1,1,"Rango")))-Z57</f>
        <v>20</v>
      </c>
      <c r="AB57" s="59">
        <f t="shared" ca="1" si="50"/>
        <v>4.9999000000000002</v>
      </c>
      <c r="AC57" s="4">
        <f t="shared" si="51"/>
        <v>1</v>
      </c>
      <c r="AD57" s="63">
        <f t="shared" ca="1" si="52"/>
        <v>4.9999000000000002</v>
      </c>
      <c r="AE57" s="59">
        <f t="shared" ca="1" si="53"/>
        <v>0.5555444444444444</v>
      </c>
      <c r="AF57" s="4" t="s">
        <v>442</v>
      </c>
      <c r="AG57" s="4"/>
      <c r="AH57" s="4"/>
      <c r="AI57" s="4"/>
    </row>
    <row r="58" spans="1:35" x14ac:dyDescent="0.25">
      <c r="A58" s="4"/>
      <c r="B58" s="4"/>
      <c r="C58" s="4" t="s">
        <v>445</v>
      </c>
      <c r="D58" s="4">
        <v>8</v>
      </c>
      <c r="E58" s="4">
        <f>+IF(FormularioFODA!D62="x",1,0)*E$2</f>
        <v>0</v>
      </c>
      <c r="F58" s="4">
        <f>+IF(FormularioFODA!E62="x",1,0)*F$2</f>
        <v>0</v>
      </c>
      <c r="G58" s="4">
        <f>+IF(FormularioFODA!F62="x",1,0)*G$2</f>
        <v>3</v>
      </c>
      <c r="H58" s="4">
        <f>+IF(FormularioFODA!G62="x",1,0)*H$2</f>
        <v>0</v>
      </c>
      <c r="I58" s="4">
        <f>+IF(FormularioFODA!H62="x",1,0)*I$2</f>
        <v>0</v>
      </c>
      <c r="J58" s="4">
        <f t="shared" si="42"/>
        <v>3</v>
      </c>
      <c r="K58" s="4">
        <f>+IF(FormularioFODA!J62="x",1,0)*K$2</f>
        <v>0</v>
      </c>
      <c r="L58" s="4">
        <f>+IF(FormularioFODA!K62="x",1,0)*L$2</f>
        <v>0</v>
      </c>
      <c r="M58" s="4">
        <f>+IF(FormularioFODA!L62="x",1,0)*M$2</f>
        <v>3</v>
      </c>
      <c r="N58" s="4">
        <f>+IF(FormularioFODA!M62="x",1,0)*N$2</f>
        <v>0</v>
      </c>
      <c r="O58" s="4">
        <f t="shared" si="43"/>
        <v>3</v>
      </c>
      <c r="P58" s="34">
        <f t="shared" si="44"/>
        <v>0.1111111111111111</v>
      </c>
      <c r="Q58" s="59">
        <f t="shared" si="45"/>
        <v>6.6666666666666666E-2</v>
      </c>
      <c r="R58" s="4"/>
      <c r="S58" s="4">
        <v>5</v>
      </c>
      <c r="T58" s="4">
        <f t="shared" si="46"/>
        <v>3</v>
      </c>
      <c r="U58" s="62">
        <f t="shared" si="47"/>
        <v>0.1111111111111111</v>
      </c>
      <c r="V58" s="4">
        <f t="shared" si="48"/>
        <v>60</v>
      </c>
      <c r="W58" s="4">
        <f t="shared" si="49"/>
        <v>59.999000000000002</v>
      </c>
      <c r="X58" s="4">
        <f ca="1">IF(T58=0,0,INDIRECT(ADDRESS(MATCH(W58,Rango!$B$2:$B$101,1)+1,3,1,1,"Rango")))</f>
        <v>3</v>
      </c>
      <c r="Y58" s="4">
        <f ca="1">IF(T58=0,0,INDIRECT(ADDRESS(MATCH(W58,Rango!$B$2:$B$101,1)+2,3,1,1,"Rango")))</f>
        <v>5</v>
      </c>
      <c r="Z58" s="4">
        <f>IF(T58=0,0,VLOOKUP(W58-0.01,Rango!$B$2:$B$101,1))</f>
        <v>40</v>
      </c>
      <c r="AA58" s="4">
        <f ca="1">IF(T58=0,0,INDIRECT(ADDRESS(MATCH(W58,Rango!$B$2:$B$101,1)+2,2,1,1,"Rango")))-Z58</f>
        <v>20</v>
      </c>
      <c r="AB58" s="59">
        <f t="shared" ca="1" si="50"/>
        <v>4.9999000000000002</v>
      </c>
      <c r="AC58" s="4">
        <f t="shared" si="51"/>
        <v>1</v>
      </c>
      <c r="AD58" s="63">
        <f t="shared" ca="1" si="52"/>
        <v>4.9999000000000002</v>
      </c>
      <c r="AE58" s="59">
        <f t="shared" ca="1" si="53"/>
        <v>0.5555444444444444</v>
      </c>
      <c r="AF58" s="4" t="s">
        <v>446</v>
      </c>
      <c r="AG58" s="4"/>
      <c r="AH58" s="4"/>
      <c r="AI58" s="4"/>
    </row>
    <row r="59" spans="1:35" x14ac:dyDescent="0.25">
      <c r="A59" s="4"/>
      <c r="B59" s="4"/>
      <c r="C59" s="4" t="s">
        <v>449</v>
      </c>
      <c r="D59" s="4">
        <v>9</v>
      </c>
      <c r="E59" s="4">
        <f>+IF(FormularioFODA!D63="x",1,0)*E$2</f>
        <v>0</v>
      </c>
      <c r="F59" s="4">
        <f>+IF(FormularioFODA!E63="x",1,0)*F$2</f>
        <v>2</v>
      </c>
      <c r="G59" s="4">
        <f>+IF(FormularioFODA!F63="x",1,0)*G$2</f>
        <v>0</v>
      </c>
      <c r="H59" s="4">
        <f>+IF(FormularioFODA!G63="x",1,0)*H$2</f>
        <v>0</v>
      </c>
      <c r="I59" s="4">
        <f>+IF(FormularioFODA!H63="x",1,0)*I$2</f>
        <v>0</v>
      </c>
      <c r="J59" s="4">
        <f t="shared" si="42"/>
        <v>2</v>
      </c>
      <c r="K59" s="4">
        <f>+IF(FormularioFODA!J63="x",1,0)*K$2</f>
        <v>0</v>
      </c>
      <c r="L59" s="4">
        <f>+IF(FormularioFODA!K63="x",1,0)*L$2</f>
        <v>0</v>
      </c>
      <c r="M59" s="4">
        <f>+IF(FormularioFODA!L63="x",1,0)*M$2</f>
        <v>3</v>
      </c>
      <c r="N59" s="4">
        <f>+IF(FormularioFODA!M63="x",1,0)*N$2</f>
        <v>0</v>
      </c>
      <c r="O59" s="4">
        <f t="shared" si="43"/>
        <v>3</v>
      </c>
      <c r="P59" s="34">
        <f t="shared" si="44"/>
        <v>0.1111111111111111</v>
      </c>
      <c r="Q59" s="59">
        <f t="shared" si="45"/>
        <v>4.4444444444444446E-2</v>
      </c>
      <c r="R59" s="4"/>
      <c r="S59" s="4">
        <v>5</v>
      </c>
      <c r="T59" s="4">
        <f t="shared" si="46"/>
        <v>2</v>
      </c>
      <c r="U59" s="62">
        <f t="shared" si="47"/>
        <v>0.1111111111111111</v>
      </c>
      <c r="V59" s="4">
        <f t="shared" si="48"/>
        <v>40</v>
      </c>
      <c r="W59" s="4">
        <f t="shared" si="49"/>
        <v>39.999000000000002</v>
      </c>
      <c r="X59" s="4">
        <f ca="1">IF(T59=0,0,INDIRECT(ADDRESS(MATCH(W59,Rango!$B$2:$B$101,1)+1,3,1,1,"Rango")))</f>
        <v>1</v>
      </c>
      <c r="Y59" s="4">
        <f ca="1">IF(T59=0,0,INDIRECT(ADDRESS(MATCH(W59,Rango!$B$2:$B$101,1)+2,3,1,1,"Rango")))</f>
        <v>3</v>
      </c>
      <c r="Z59" s="4">
        <f>IF(T59=0,0,VLOOKUP(W59-0.01,Rango!$B$2:$B$101,1))</f>
        <v>20</v>
      </c>
      <c r="AA59" s="4">
        <f ca="1">IF(T59=0,0,INDIRECT(ADDRESS(MATCH(W59,Rango!$B$2:$B$101,1)+2,2,1,1,"Rango")))-Z59</f>
        <v>20</v>
      </c>
      <c r="AB59" s="59">
        <f t="shared" ca="1" si="50"/>
        <v>2.9999000000000002</v>
      </c>
      <c r="AC59" s="4">
        <f t="shared" si="51"/>
        <v>1</v>
      </c>
      <c r="AD59" s="63">
        <f t="shared" ca="1" si="52"/>
        <v>2.9999000000000002</v>
      </c>
      <c r="AE59" s="59">
        <f t="shared" ca="1" si="53"/>
        <v>0.33332222222222224</v>
      </c>
      <c r="AF59" s="4" t="s">
        <v>450</v>
      </c>
      <c r="AG59" s="4"/>
      <c r="AH59" s="4"/>
      <c r="AI59" s="4"/>
    </row>
    <row r="60" spans="1:35" x14ac:dyDescent="0.25">
      <c r="A60" s="4"/>
      <c r="B60" s="12" t="s">
        <v>821</v>
      </c>
      <c r="C60" s="4"/>
      <c r="D60" s="4"/>
      <c r="E60" s="12">
        <f t="shared" ref="E60:Q60" si="54">SUM(E51:E59)</f>
        <v>0</v>
      </c>
      <c r="F60" s="12">
        <f t="shared" si="54"/>
        <v>2</v>
      </c>
      <c r="G60" s="12">
        <f t="shared" si="54"/>
        <v>15</v>
      </c>
      <c r="H60" s="12">
        <f t="shared" si="54"/>
        <v>12</v>
      </c>
      <c r="I60" s="12">
        <f t="shared" si="54"/>
        <v>0</v>
      </c>
      <c r="J60" s="12">
        <f t="shared" si="54"/>
        <v>29</v>
      </c>
      <c r="K60" s="12">
        <f t="shared" si="54"/>
        <v>1</v>
      </c>
      <c r="L60" s="12">
        <f t="shared" si="54"/>
        <v>0</v>
      </c>
      <c r="M60" s="12">
        <f t="shared" si="54"/>
        <v>18</v>
      </c>
      <c r="N60" s="12">
        <f t="shared" si="54"/>
        <v>8</v>
      </c>
      <c r="O60" s="12">
        <f t="shared" si="54"/>
        <v>27</v>
      </c>
      <c r="P60" s="60">
        <f t="shared" si="54"/>
        <v>1</v>
      </c>
      <c r="Q60" s="61">
        <f t="shared" si="54"/>
        <v>0.62962962962962954</v>
      </c>
      <c r="R60" s="4"/>
      <c r="S60" s="4">
        <f>SUM(S51:S59)</f>
        <v>45</v>
      </c>
      <c r="T60" s="4"/>
      <c r="U60" s="62"/>
      <c r="V60" s="4"/>
      <c r="W60" s="4"/>
      <c r="X60" s="4"/>
      <c r="Y60" s="4"/>
      <c r="Z60" s="4"/>
      <c r="AA60" s="4"/>
      <c r="AB60" s="59"/>
      <c r="AC60" s="4"/>
      <c r="AD60" s="63"/>
      <c r="AE60" s="68">
        <f ca="1">SUM(AE51:AE59)</f>
        <v>5.2961962962962952</v>
      </c>
      <c r="AF60" s="4"/>
      <c r="AG60" s="4"/>
      <c r="AH60" s="4"/>
      <c r="AI60" s="4"/>
    </row>
    <row r="61" spans="1:35" x14ac:dyDescent="0.25">
      <c r="A61" s="4"/>
      <c r="B61" s="4"/>
      <c r="C61" s="4"/>
      <c r="D61" s="4"/>
      <c r="E61" s="4"/>
      <c r="F61" s="4"/>
      <c r="G61" s="4"/>
      <c r="H61" s="4"/>
      <c r="I61" s="4"/>
      <c r="J61" s="4"/>
      <c r="K61" s="4"/>
      <c r="L61" s="4"/>
      <c r="M61" s="4"/>
      <c r="N61" s="4"/>
      <c r="O61" s="4"/>
      <c r="P61" s="34"/>
      <c r="Q61" s="59"/>
      <c r="R61" s="4"/>
      <c r="S61" s="4"/>
      <c r="T61" s="4"/>
      <c r="U61" s="62"/>
      <c r="V61" s="4"/>
      <c r="W61" s="4"/>
      <c r="X61" s="4"/>
      <c r="Y61" s="4"/>
      <c r="Z61" s="4"/>
      <c r="AA61" s="4"/>
      <c r="AB61" s="59"/>
      <c r="AC61" s="4"/>
      <c r="AD61" s="63"/>
      <c r="AE61" s="59"/>
      <c r="AF61" s="4"/>
      <c r="AG61" s="4"/>
      <c r="AH61" s="4"/>
      <c r="AI61" s="4"/>
    </row>
    <row r="62" spans="1:35" x14ac:dyDescent="0.25">
      <c r="A62" s="4"/>
      <c r="B62" s="4" t="str">
        <f>+FormularioFODA!B65</f>
        <v>Socios Clave</v>
      </c>
      <c r="C62" s="4" t="s">
        <v>453</v>
      </c>
      <c r="D62" s="4">
        <v>1</v>
      </c>
      <c r="E62" s="4">
        <f>+IF(FormularioFODA!D66="x",1,0)*E$2</f>
        <v>0</v>
      </c>
      <c r="F62" s="4">
        <f>+IF(FormularioFODA!E66="x",1,0)*F$2</f>
        <v>0</v>
      </c>
      <c r="G62" s="4">
        <f>+IF(FormularioFODA!F66="x",1,0)*G$2</f>
        <v>0</v>
      </c>
      <c r="H62" s="4">
        <f>+IF(FormularioFODA!G66="x",1,0)*H$2</f>
        <v>4</v>
      </c>
      <c r="I62" s="4">
        <f>+IF(FormularioFODA!H66="x",1,0)*I$2</f>
        <v>0</v>
      </c>
      <c r="J62" s="4">
        <f t="shared" ref="J62:J67" si="55">SUM(E62:I62)</f>
        <v>4</v>
      </c>
      <c r="K62" s="4">
        <f>+IF(FormularioFODA!J66="x",1,0)*K$2</f>
        <v>0</v>
      </c>
      <c r="L62" s="4">
        <f>+IF(FormularioFODA!K66="x",1,0)*L$2</f>
        <v>0</v>
      </c>
      <c r="M62" s="4">
        <f>+IF(FormularioFODA!L66="x",1,0)*M$2</f>
        <v>3</v>
      </c>
      <c r="N62" s="4">
        <f>+IF(FormularioFODA!M66="x",1,0)*N$2</f>
        <v>0</v>
      </c>
      <c r="O62" s="4">
        <f t="shared" ref="O62:O67" si="56">SUM(K62:N62)</f>
        <v>3</v>
      </c>
      <c r="P62" s="34">
        <f t="shared" ref="P62:P67" si="57">IF($O$68=0,0,O62/$O$68)</f>
        <v>0.14285714285714285</v>
      </c>
      <c r="Q62" s="59">
        <f t="shared" ref="Q62:Q67" si="58">+(J62/$I$2)*P62</f>
        <v>0.11428571428571428</v>
      </c>
      <c r="R62" s="4"/>
      <c r="S62" s="4">
        <v>5</v>
      </c>
      <c r="T62" s="4">
        <f t="shared" ref="T62:T67" si="59">+J62</f>
        <v>4</v>
      </c>
      <c r="U62" s="62">
        <f t="shared" ref="U62:U67" si="60">+P62</f>
        <v>0.14285714285714285</v>
      </c>
      <c r="V62" s="4">
        <f t="shared" ref="V62:V67" si="61">IF(ISERROR(T62/S62*100-IF(T62/S62&lt;0,100,0)),0,T62/S62*100-IF(T62/S62&lt;0,100,0))</f>
        <v>80</v>
      </c>
      <c r="W62" s="4">
        <f t="shared" ref="W62:W67" si="62">ABS(V62)-0.001</f>
        <v>79.998999999999995</v>
      </c>
      <c r="X62" s="4">
        <f ca="1">IF(T62=0,0,INDIRECT(ADDRESS(MATCH(W62,Rango!$B$2:$B$101,1)+1,3,1,1,"Rango")))</f>
        <v>5</v>
      </c>
      <c r="Y62" s="4">
        <f ca="1">IF(T62=0,0,INDIRECT(ADDRESS(MATCH(W62,Rango!$B$2:$B$101,1)+2,3,1,1,"Rango")))</f>
        <v>7</v>
      </c>
      <c r="Z62" s="4">
        <f>IF(T62=0,0,VLOOKUP(W62-0.01,Rango!$B$2:$B$101,1))</f>
        <v>60</v>
      </c>
      <c r="AA62" s="4">
        <f ca="1">IF(T62=0,0,INDIRECT(ADDRESS(MATCH(W62,Rango!$B$2:$B$101,1)+2,2,1,1,"Rango")))-Z62</f>
        <v>20</v>
      </c>
      <c r="AB62" s="59">
        <f t="shared" ref="AB62:AB67" ca="1" si="63">IF(AND(Y62=0,X62&lt;&gt;0),X62,IF(AA62=0,0,X62+((W62-Z62)*(Y62-X62))/AA62))</f>
        <v>6.9998999999999993</v>
      </c>
      <c r="AC62" s="4">
        <f t="shared" ref="AC62:AC67" si="64">IF(V62&gt;0,1)+(IF(V62&lt;0,-1))</f>
        <v>1</v>
      </c>
      <c r="AD62" s="63">
        <f t="shared" ref="AD62:AD67" ca="1" si="65">AB62*AC62</f>
        <v>6.9998999999999993</v>
      </c>
      <c r="AE62" s="59">
        <f t="shared" ref="AE62:AE67" ca="1" si="66">AD62*U62</f>
        <v>0.99998571428571414</v>
      </c>
      <c r="AF62" s="4" t="s">
        <v>454</v>
      </c>
      <c r="AG62" s="4"/>
      <c r="AH62" s="4"/>
      <c r="AI62" s="4"/>
    </row>
    <row r="63" spans="1:35" x14ac:dyDescent="0.25">
      <c r="A63" s="4"/>
      <c r="B63" s="4"/>
      <c r="C63" s="4" t="s">
        <v>458</v>
      </c>
      <c r="D63" s="4">
        <v>2</v>
      </c>
      <c r="E63" s="4">
        <f>+IF(FormularioFODA!D67="x",1,0)*E$2</f>
        <v>0</v>
      </c>
      <c r="F63" s="4">
        <f>+IF(FormularioFODA!E67="x",1,0)*F$2</f>
        <v>2</v>
      </c>
      <c r="G63" s="4">
        <f>+IF(FormularioFODA!F67="x",1,0)*G$2</f>
        <v>0</v>
      </c>
      <c r="H63" s="4">
        <f>+IF(FormularioFODA!G67="x",1,0)*H$2</f>
        <v>0</v>
      </c>
      <c r="I63" s="4">
        <f>+IF(FormularioFODA!H67="x",1,0)*I$2</f>
        <v>0</v>
      </c>
      <c r="J63" s="4">
        <f t="shared" si="55"/>
        <v>2</v>
      </c>
      <c r="K63" s="4">
        <f>+IF(FormularioFODA!J67="x",1,0)*K$2</f>
        <v>0</v>
      </c>
      <c r="L63" s="4">
        <f>+IF(FormularioFODA!K67="x",1,0)*L$2</f>
        <v>0</v>
      </c>
      <c r="M63" s="4">
        <f>+IF(FormularioFODA!L67="x",1,0)*M$2</f>
        <v>0</v>
      </c>
      <c r="N63" s="4">
        <f>+IF(FormularioFODA!M67="x",1,0)*N$2</f>
        <v>4</v>
      </c>
      <c r="O63" s="4">
        <f t="shared" si="56"/>
        <v>4</v>
      </c>
      <c r="P63" s="34">
        <f t="shared" si="57"/>
        <v>0.19047619047619047</v>
      </c>
      <c r="Q63" s="59">
        <f t="shared" si="58"/>
        <v>7.6190476190476197E-2</v>
      </c>
      <c r="R63" s="4"/>
      <c r="S63" s="4">
        <v>5</v>
      </c>
      <c r="T63" s="4">
        <f t="shared" si="59"/>
        <v>2</v>
      </c>
      <c r="U63" s="62">
        <f t="shared" si="60"/>
        <v>0.19047619047619047</v>
      </c>
      <c r="V63" s="4">
        <f t="shared" si="61"/>
        <v>40</v>
      </c>
      <c r="W63" s="4">
        <f t="shared" si="62"/>
        <v>39.999000000000002</v>
      </c>
      <c r="X63" s="4">
        <f ca="1">IF(T63=0,0,INDIRECT(ADDRESS(MATCH(W63,Rango!$B$2:$B$101,1)+1,3,1,1,"Rango")))</f>
        <v>1</v>
      </c>
      <c r="Y63" s="4">
        <f ca="1">IF(T63=0,0,INDIRECT(ADDRESS(MATCH(W63,Rango!$B$2:$B$101,1)+2,3,1,1,"Rango")))</f>
        <v>3</v>
      </c>
      <c r="Z63" s="4">
        <f>IF(T63=0,0,VLOOKUP(W63-0.01,Rango!$B$2:$B$101,1))</f>
        <v>20</v>
      </c>
      <c r="AA63" s="4">
        <f ca="1">IF(T63=0,0,INDIRECT(ADDRESS(MATCH(W63,Rango!$B$2:$B$101,1)+2,2,1,1,"Rango")))-Z63</f>
        <v>20</v>
      </c>
      <c r="AB63" s="59">
        <f t="shared" ca="1" si="63"/>
        <v>2.9999000000000002</v>
      </c>
      <c r="AC63" s="4">
        <f t="shared" si="64"/>
        <v>1</v>
      </c>
      <c r="AD63" s="63">
        <f t="shared" ca="1" si="65"/>
        <v>2.9999000000000002</v>
      </c>
      <c r="AE63" s="59">
        <f t="shared" ca="1" si="66"/>
        <v>0.57140952380952381</v>
      </c>
      <c r="AF63" s="4" t="s">
        <v>459</v>
      </c>
      <c r="AG63" s="4"/>
      <c r="AH63" s="4"/>
      <c r="AI63" s="4"/>
    </row>
    <row r="64" spans="1:35" x14ac:dyDescent="0.25">
      <c r="A64" s="4"/>
      <c r="B64" s="4"/>
      <c r="C64" s="4" t="s">
        <v>462</v>
      </c>
      <c r="D64" s="4">
        <v>3</v>
      </c>
      <c r="E64" s="4">
        <f>+IF(FormularioFODA!D68="x",1,0)*E$2</f>
        <v>0</v>
      </c>
      <c r="F64" s="4">
        <f>+IF(FormularioFODA!E68="x",1,0)*F$2</f>
        <v>0</v>
      </c>
      <c r="G64" s="4">
        <f>+IF(FormularioFODA!F68="x",1,0)*G$2</f>
        <v>3</v>
      </c>
      <c r="H64" s="4">
        <f>+IF(FormularioFODA!G68="x",1,0)*H$2</f>
        <v>0</v>
      </c>
      <c r="I64" s="4">
        <f>+IF(FormularioFODA!H68="x",1,0)*I$2</f>
        <v>0</v>
      </c>
      <c r="J64" s="4">
        <f t="shared" si="55"/>
        <v>3</v>
      </c>
      <c r="K64" s="4">
        <f>+IF(FormularioFODA!J68="x",1,0)*K$2</f>
        <v>0</v>
      </c>
      <c r="L64" s="4">
        <f>+IF(FormularioFODA!K68="x",1,0)*L$2</f>
        <v>0</v>
      </c>
      <c r="M64" s="4">
        <f>+IF(FormularioFODA!L68="x",1,0)*M$2</f>
        <v>3</v>
      </c>
      <c r="N64" s="4">
        <f>+IF(FormularioFODA!M68="x",1,0)*N$2</f>
        <v>0</v>
      </c>
      <c r="O64" s="4">
        <f t="shared" si="56"/>
        <v>3</v>
      </c>
      <c r="P64" s="34">
        <f t="shared" si="57"/>
        <v>0.14285714285714285</v>
      </c>
      <c r="Q64" s="59">
        <f t="shared" si="58"/>
        <v>8.5714285714285701E-2</v>
      </c>
      <c r="R64" s="4"/>
      <c r="S64" s="4">
        <v>5</v>
      </c>
      <c r="T64" s="4">
        <f t="shared" si="59"/>
        <v>3</v>
      </c>
      <c r="U64" s="62">
        <f t="shared" si="60"/>
        <v>0.14285714285714285</v>
      </c>
      <c r="V64" s="4">
        <f t="shared" si="61"/>
        <v>60</v>
      </c>
      <c r="W64" s="4">
        <f t="shared" si="62"/>
        <v>59.999000000000002</v>
      </c>
      <c r="X64" s="4">
        <f ca="1">IF(T64=0,0,INDIRECT(ADDRESS(MATCH(W64,Rango!$B$2:$B$101,1)+1,3,1,1,"Rango")))</f>
        <v>3</v>
      </c>
      <c r="Y64" s="4">
        <f ca="1">IF(T64=0,0,INDIRECT(ADDRESS(MATCH(W64,Rango!$B$2:$B$101,1)+2,3,1,1,"Rango")))</f>
        <v>5</v>
      </c>
      <c r="Z64" s="4">
        <f>IF(T64=0,0,VLOOKUP(W64-0.01,Rango!$B$2:$B$101,1))</f>
        <v>40</v>
      </c>
      <c r="AA64" s="4">
        <f ca="1">IF(T64=0,0,INDIRECT(ADDRESS(MATCH(W64,Rango!$B$2:$B$101,1)+2,2,1,1,"Rango")))-Z64</f>
        <v>20</v>
      </c>
      <c r="AB64" s="59">
        <f t="shared" ca="1" si="63"/>
        <v>4.9999000000000002</v>
      </c>
      <c r="AC64" s="4">
        <f t="shared" si="64"/>
        <v>1</v>
      </c>
      <c r="AD64" s="63">
        <f t="shared" ca="1" si="65"/>
        <v>4.9999000000000002</v>
      </c>
      <c r="AE64" s="59">
        <f t="shared" ca="1" si="66"/>
        <v>0.71427142857142856</v>
      </c>
      <c r="AF64" s="4" t="s">
        <v>463</v>
      </c>
      <c r="AG64" s="4"/>
      <c r="AH64" s="4"/>
      <c r="AI64" s="4"/>
    </row>
    <row r="65" spans="1:35" x14ac:dyDescent="0.25">
      <c r="A65" s="4"/>
      <c r="B65" s="4"/>
      <c r="C65" s="4" t="s">
        <v>466</v>
      </c>
      <c r="D65" s="4">
        <v>4</v>
      </c>
      <c r="E65" s="4">
        <f>+IF(FormularioFODA!D69="x",1,0)*E$2</f>
        <v>0</v>
      </c>
      <c r="F65" s="4">
        <f>+IF(FormularioFODA!E69="x",1,0)*F$2</f>
        <v>0</v>
      </c>
      <c r="G65" s="4">
        <f>+IF(FormularioFODA!F69="x",1,0)*G$2</f>
        <v>0</v>
      </c>
      <c r="H65" s="4">
        <f>+IF(FormularioFODA!G69="x",1,0)*H$2</f>
        <v>0</v>
      </c>
      <c r="I65" s="4">
        <f>+IF(FormularioFODA!H69="x",1,0)*I$2</f>
        <v>5</v>
      </c>
      <c r="J65" s="4">
        <f t="shared" si="55"/>
        <v>5</v>
      </c>
      <c r="K65" s="4">
        <f>+IF(FormularioFODA!J69="x",1,0)*K$2</f>
        <v>0</v>
      </c>
      <c r="L65" s="4">
        <f>+IF(FormularioFODA!K69="x",1,0)*L$2</f>
        <v>0</v>
      </c>
      <c r="M65" s="4">
        <f>+IF(FormularioFODA!L69="x",1,0)*M$2</f>
        <v>3</v>
      </c>
      <c r="N65" s="4">
        <f>+IF(FormularioFODA!M69="x",1,0)*N$2</f>
        <v>0</v>
      </c>
      <c r="O65" s="4">
        <f t="shared" si="56"/>
        <v>3</v>
      </c>
      <c r="P65" s="34">
        <f t="shared" si="57"/>
        <v>0.14285714285714285</v>
      </c>
      <c r="Q65" s="59">
        <f t="shared" si="58"/>
        <v>0.14285714285714285</v>
      </c>
      <c r="R65" s="4"/>
      <c r="S65" s="4">
        <v>5</v>
      </c>
      <c r="T65" s="4">
        <f t="shared" si="59"/>
        <v>5</v>
      </c>
      <c r="U65" s="62">
        <f t="shared" si="60"/>
        <v>0.14285714285714285</v>
      </c>
      <c r="V65" s="4">
        <f t="shared" si="61"/>
        <v>100</v>
      </c>
      <c r="W65" s="4">
        <f t="shared" si="62"/>
        <v>99.998999999999995</v>
      </c>
      <c r="X65" s="4">
        <f ca="1">IF(T65=0,0,INDIRECT(ADDRESS(MATCH(W65,Rango!$B$2:$B$101,1)+1,3,1,1,"Rango")))</f>
        <v>7</v>
      </c>
      <c r="Y65" s="4">
        <f ca="1">IF(T65=0,0,INDIRECT(ADDRESS(MATCH(W65,Rango!$B$2:$B$101,1)+2,3,1,1,"Rango")))</f>
        <v>10</v>
      </c>
      <c r="Z65" s="4">
        <f>IF(T65=0,0,VLOOKUP(W65-0.01,Rango!$B$2:$B$101,1))</f>
        <v>80</v>
      </c>
      <c r="AA65" s="4">
        <f ca="1">IF(T65=0,0,INDIRECT(ADDRESS(MATCH(W65,Rango!$B$2:$B$101,1)+2,2,1,1,"Rango")))-Z65</f>
        <v>20</v>
      </c>
      <c r="AB65" s="59">
        <f t="shared" ca="1" si="63"/>
        <v>9.9998499999999986</v>
      </c>
      <c r="AC65" s="4">
        <f t="shared" si="64"/>
        <v>1</v>
      </c>
      <c r="AD65" s="63">
        <f t="shared" ca="1" si="65"/>
        <v>9.9998499999999986</v>
      </c>
      <c r="AE65" s="59">
        <f t="shared" ca="1" si="66"/>
        <v>1.4285499999999998</v>
      </c>
      <c r="AF65" s="4" t="s">
        <v>467</v>
      </c>
      <c r="AG65" s="4"/>
      <c r="AH65" s="4"/>
      <c r="AI65" s="4"/>
    </row>
    <row r="66" spans="1:35" x14ac:dyDescent="0.25">
      <c r="A66" s="4"/>
      <c r="B66" s="4"/>
      <c r="C66" s="4" t="s">
        <v>470</v>
      </c>
      <c r="D66" s="4">
        <v>5</v>
      </c>
      <c r="E66" s="4">
        <f>+IF(FormularioFODA!D70="x",1,0)*E$2</f>
        <v>0</v>
      </c>
      <c r="F66" s="4">
        <f>+IF(FormularioFODA!E70="x",1,0)*F$2</f>
        <v>2</v>
      </c>
      <c r="G66" s="4">
        <f>+IF(FormularioFODA!F70="x",1,0)*G$2</f>
        <v>0</v>
      </c>
      <c r="H66" s="4">
        <f>+IF(FormularioFODA!G70="x",1,0)*H$2</f>
        <v>0</v>
      </c>
      <c r="I66" s="4">
        <f>+IF(FormularioFODA!H70="x",1,0)*I$2</f>
        <v>0</v>
      </c>
      <c r="J66" s="4">
        <f t="shared" si="55"/>
        <v>2</v>
      </c>
      <c r="K66" s="4">
        <f>+IF(FormularioFODA!J70="x",1,0)*K$2</f>
        <v>0</v>
      </c>
      <c r="L66" s="4">
        <f>+IF(FormularioFODA!K70="x",1,0)*L$2</f>
        <v>0</v>
      </c>
      <c r="M66" s="4">
        <f>+IF(FormularioFODA!L70="x",1,0)*M$2</f>
        <v>0</v>
      </c>
      <c r="N66" s="4">
        <f>+IF(FormularioFODA!M70="x",1,0)*N$2</f>
        <v>4</v>
      </c>
      <c r="O66" s="4">
        <f t="shared" si="56"/>
        <v>4</v>
      </c>
      <c r="P66" s="34">
        <f t="shared" si="57"/>
        <v>0.19047619047619047</v>
      </c>
      <c r="Q66" s="59">
        <f t="shared" si="58"/>
        <v>7.6190476190476197E-2</v>
      </c>
      <c r="R66" s="4"/>
      <c r="S66" s="4">
        <v>5</v>
      </c>
      <c r="T66" s="4">
        <f t="shared" si="59"/>
        <v>2</v>
      </c>
      <c r="U66" s="62">
        <f t="shared" si="60"/>
        <v>0.19047619047619047</v>
      </c>
      <c r="V66" s="4">
        <f t="shared" si="61"/>
        <v>40</v>
      </c>
      <c r="W66" s="4">
        <f t="shared" si="62"/>
        <v>39.999000000000002</v>
      </c>
      <c r="X66" s="4">
        <f ca="1">IF(T66=0,0,INDIRECT(ADDRESS(MATCH(W66,Rango!$B$2:$B$101,1)+1,3,1,1,"Rango")))</f>
        <v>1</v>
      </c>
      <c r="Y66" s="4">
        <f ca="1">IF(T66=0,0,INDIRECT(ADDRESS(MATCH(W66,Rango!$B$2:$B$101,1)+2,3,1,1,"Rango")))</f>
        <v>3</v>
      </c>
      <c r="Z66" s="4">
        <f>IF(T66=0,0,VLOOKUP(W66-0.01,Rango!$B$2:$B$101,1))</f>
        <v>20</v>
      </c>
      <c r="AA66" s="4">
        <f ca="1">IF(T66=0,0,INDIRECT(ADDRESS(MATCH(W66,Rango!$B$2:$B$101,1)+2,2,1,1,"Rango")))-Z66</f>
        <v>20</v>
      </c>
      <c r="AB66" s="59">
        <f t="shared" ca="1" si="63"/>
        <v>2.9999000000000002</v>
      </c>
      <c r="AC66" s="4">
        <f t="shared" si="64"/>
        <v>1</v>
      </c>
      <c r="AD66" s="63">
        <f t="shared" ca="1" si="65"/>
        <v>2.9999000000000002</v>
      </c>
      <c r="AE66" s="59">
        <f t="shared" ca="1" si="66"/>
        <v>0.57140952380952381</v>
      </c>
      <c r="AF66" s="4" t="s">
        <v>471</v>
      </c>
      <c r="AG66" s="4"/>
      <c r="AH66" s="4"/>
      <c r="AI66" s="4"/>
    </row>
    <row r="67" spans="1:35" x14ac:dyDescent="0.25">
      <c r="A67" s="4"/>
      <c r="B67" s="4"/>
      <c r="C67" s="4" t="s">
        <v>474</v>
      </c>
      <c r="D67" s="4">
        <v>6</v>
      </c>
      <c r="E67" s="4">
        <f>+IF(FormularioFODA!D71="x",1,0)*E$2</f>
        <v>0</v>
      </c>
      <c r="F67" s="4">
        <f>+IF(FormularioFODA!E71="x",1,0)*F$2</f>
        <v>0</v>
      </c>
      <c r="G67" s="4">
        <f>+IF(FormularioFODA!F71="x",1,0)*G$2</f>
        <v>0</v>
      </c>
      <c r="H67" s="4">
        <f>+IF(FormularioFODA!G71="x",1,0)*H$2</f>
        <v>0</v>
      </c>
      <c r="I67" s="4">
        <f>+IF(FormularioFODA!H71="x",1,0)*I$2</f>
        <v>5</v>
      </c>
      <c r="J67" s="4">
        <f t="shared" si="55"/>
        <v>5</v>
      </c>
      <c r="K67" s="4">
        <f>+IF(FormularioFODA!J71="x",1,0)*K$2</f>
        <v>0</v>
      </c>
      <c r="L67" s="4">
        <f>+IF(FormularioFODA!K71="x",1,0)*L$2</f>
        <v>0</v>
      </c>
      <c r="M67" s="4">
        <f>+IF(FormularioFODA!L71="x",1,0)*M$2</f>
        <v>0</v>
      </c>
      <c r="N67" s="4">
        <f>+IF(FormularioFODA!M71="x",1,0)*N$2</f>
        <v>4</v>
      </c>
      <c r="O67" s="4">
        <f t="shared" si="56"/>
        <v>4</v>
      </c>
      <c r="P67" s="34">
        <f t="shared" si="57"/>
        <v>0.19047619047619047</v>
      </c>
      <c r="Q67" s="59">
        <f t="shared" si="58"/>
        <v>0.19047619047619047</v>
      </c>
      <c r="R67" s="4"/>
      <c r="S67" s="4">
        <v>5</v>
      </c>
      <c r="T67" s="4">
        <f t="shared" si="59"/>
        <v>5</v>
      </c>
      <c r="U67" s="62">
        <f t="shared" si="60"/>
        <v>0.19047619047619047</v>
      </c>
      <c r="V67" s="4">
        <f t="shared" si="61"/>
        <v>100</v>
      </c>
      <c r="W67" s="4">
        <f t="shared" si="62"/>
        <v>99.998999999999995</v>
      </c>
      <c r="X67" s="4">
        <f ca="1">IF(T67=0,0,INDIRECT(ADDRESS(MATCH(W67,Rango!$B$2:$B$101,1)+1,3,1,1,"Rango")))</f>
        <v>7</v>
      </c>
      <c r="Y67" s="4">
        <f ca="1">IF(T67=0,0,INDIRECT(ADDRESS(MATCH(W67,Rango!$B$2:$B$101,1)+2,3,1,1,"Rango")))</f>
        <v>10</v>
      </c>
      <c r="Z67" s="4">
        <f>IF(T67=0,0,VLOOKUP(W67-0.01,Rango!$B$2:$B$101,1))</f>
        <v>80</v>
      </c>
      <c r="AA67" s="4">
        <f ca="1">IF(T67=0,0,INDIRECT(ADDRESS(MATCH(W67,Rango!$B$2:$B$101,1)+2,2,1,1,"Rango")))-Z67</f>
        <v>20</v>
      </c>
      <c r="AB67" s="59">
        <f t="shared" ca="1" si="63"/>
        <v>9.9998499999999986</v>
      </c>
      <c r="AC67" s="4">
        <f t="shared" si="64"/>
        <v>1</v>
      </c>
      <c r="AD67" s="63">
        <f t="shared" ca="1" si="65"/>
        <v>9.9998499999999986</v>
      </c>
      <c r="AE67" s="59">
        <f t="shared" ca="1" si="66"/>
        <v>1.9047333333333329</v>
      </c>
      <c r="AF67" s="4" t="s">
        <v>475</v>
      </c>
      <c r="AG67" s="4"/>
      <c r="AH67" s="4"/>
      <c r="AI67" s="4"/>
    </row>
    <row r="68" spans="1:35" x14ac:dyDescent="0.25">
      <c r="A68" s="4"/>
      <c r="B68" s="12" t="s">
        <v>822</v>
      </c>
      <c r="C68" s="4"/>
      <c r="D68" s="4"/>
      <c r="E68" s="12">
        <f t="shared" ref="E68:Q68" si="67">SUM(E62:E67)</f>
        <v>0</v>
      </c>
      <c r="F68" s="12">
        <f t="shared" si="67"/>
        <v>4</v>
      </c>
      <c r="G68" s="12">
        <f t="shared" si="67"/>
        <v>3</v>
      </c>
      <c r="H68" s="12">
        <f t="shared" si="67"/>
        <v>4</v>
      </c>
      <c r="I68" s="12">
        <f t="shared" si="67"/>
        <v>10</v>
      </c>
      <c r="J68" s="12">
        <f t="shared" si="67"/>
        <v>21</v>
      </c>
      <c r="K68" s="12">
        <f t="shared" si="67"/>
        <v>0</v>
      </c>
      <c r="L68" s="12">
        <f t="shared" si="67"/>
        <v>0</v>
      </c>
      <c r="M68" s="12">
        <f t="shared" si="67"/>
        <v>9</v>
      </c>
      <c r="N68" s="12">
        <f t="shared" si="67"/>
        <v>12</v>
      </c>
      <c r="O68" s="12">
        <f t="shared" si="67"/>
        <v>21</v>
      </c>
      <c r="P68" s="60">
        <f t="shared" si="67"/>
        <v>1</v>
      </c>
      <c r="Q68" s="61">
        <f t="shared" si="67"/>
        <v>0.68571428571428572</v>
      </c>
      <c r="R68" s="4"/>
      <c r="S68" s="4">
        <f>SUM(S62:S67)</f>
        <v>30</v>
      </c>
      <c r="T68" s="4"/>
      <c r="U68" s="62"/>
      <c r="V68" s="4"/>
      <c r="W68" s="4"/>
      <c r="X68" s="4"/>
      <c r="Y68" s="4"/>
      <c r="Z68" s="4"/>
      <c r="AA68" s="4"/>
      <c r="AB68" s="59"/>
      <c r="AC68" s="4"/>
      <c r="AD68" s="63"/>
      <c r="AE68" s="68">
        <f ca="1">SUM(AE62:AE67)</f>
        <v>6.1903595238095228</v>
      </c>
      <c r="AF68" s="4"/>
      <c r="AG68" s="4"/>
      <c r="AH68" s="4"/>
      <c r="AI68" s="4"/>
    </row>
    <row r="69" spans="1:35" x14ac:dyDescent="0.25">
      <c r="A69" s="4"/>
      <c r="B69" s="4"/>
      <c r="C69" s="4"/>
      <c r="D69" s="4"/>
      <c r="E69" s="4"/>
      <c r="F69" s="4"/>
      <c r="G69" s="4"/>
      <c r="H69" s="4"/>
      <c r="I69" s="4"/>
      <c r="J69" s="4"/>
      <c r="K69" s="4"/>
      <c r="L69" s="4"/>
      <c r="M69" s="4"/>
      <c r="N69" s="4"/>
      <c r="O69" s="4"/>
      <c r="P69" s="34"/>
      <c r="Q69" s="59"/>
      <c r="R69" s="4"/>
      <c r="S69" s="4"/>
      <c r="T69" s="4"/>
      <c r="U69" s="62"/>
      <c r="V69" s="4"/>
      <c r="W69" s="4"/>
      <c r="X69" s="4"/>
      <c r="Y69" s="4"/>
      <c r="Z69" s="4"/>
      <c r="AA69" s="4"/>
      <c r="AB69" s="59"/>
      <c r="AC69" s="4"/>
      <c r="AD69" s="63"/>
      <c r="AE69" s="59"/>
      <c r="AF69" s="4"/>
      <c r="AG69" s="4"/>
      <c r="AH69" s="4"/>
      <c r="AI69" s="4"/>
    </row>
    <row r="70" spans="1:35" x14ac:dyDescent="0.25">
      <c r="A70" s="4"/>
      <c r="B70" s="4" t="str">
        <f>+FormularioFODA!B73</f>
        <v>Estructura de Costos</v>
      </c>
      <c r="C70" s="4" t="s">
        <v>478</v>
      </c>
      <c r="D70" s="4">
        <v>1</v>
      </c>
      <c r="E70" s="4">
        <f>+IF(FormularioFODA!D74="x",1,0)*E$2</f>
        <v>0</v>
      </c>
      <c r="F70" s="4">
        <f>+IF(FormularioFODA!E74="x",1,0)*F$2</f>
        <v>0</v>
      </c>
      <c r="G70" s="4">
        <f>+IF(FormularioFODA!F74="x",1,0)*G$2</f>
        <v>0</v>
      </c>
      <c r="H70" s="4">
        <f>+IF(FormularioFODA!G74="x",1,0)*H$2</f>
        <v>4</v>
      </c>
      <c r="I70" s="4">
        <f>+IF(FormularioFODA!H74="x",1,0)*I$2</f>
        <v>0</v>
      </c>
      <c r="J70" s="4">
        <f t="shared" ref="J70:J75" si="68">SUM(E70:I70)</f>
        <v>4</v>
      </c>
      <c r="K70" s="4">
        <f>+IF(FormularioFODA!J74="x",1,0)*K$2</f>
        <v>0</v>
      </c>
      <c r="L70" s="4">
        <f>+IF(FormularioFODA!K74="x",1,0)*L$2</f>
        <v>0</v>
      </c>
      <c r="M70" s="4">
        <f>+IF(FormularioFODA!L74="x",1,0)*M$2</f>
        <v>3</v>
      </c>
      <c r="N70" s="4">
        <f>+IF(FormularioFODA!M74="x",1,0)*N$2</f>
        <v>0</v>
      </c>
      <c r="O70" s="4">
        <f t="shared" ref="O70:O75" si="69">SUM(K70:N70)</f>
        <v>3</v>
      </c>
      <c r="P70" s="34">
        <f t="shared" ref="P70:P75" si="70">IF($O$76=0,0,O70/$O$76)</f>
        <v>0.15</v>
      </c>
      <c r="Q70" s="59">
        <f t="shared" ref="Q70:Q75" si="71">+(J70/$I$2)*P70</f>
        <v>0.12</v>
      </c>
      <c r="R70" s="4"/>
      <c r="S70" s="4">
        <v>5</v>
      </c>
      <c r="T70" s="4">
        <f t="shared" ref="T70:T75" si="72">+J70</f>
        <v>4</v>
      </c>
      <c r="U70" s="62">
        <f t="shared" ref="U70:U75" si="73">+P70</f>
        <v>0.15</v>
      </c>
      <c r="V70" s="4">
        <f t="shared" ref="V70:V75" si="74">IF(ISERROR(T70/S70*100-IF(T70/S70&lt;0,100,0)),0,T70/S70*100-IF(T70/S70&lt;0,100,0))</f>
        <v>80</v>
      </c>
      <c r="W70" s="4">
        <f t="shared" ref="W70:W75" si="75">ABS(V70)-0.001</f>
        <v>79.998999999999995</v>
      </c>
      <c r="X70" s="4">
        <f ca="1">IF(T70=0,0,INDIRECT(ADDRESS(MATCH(W70,Rango!$B$2:$B$101,1)+1,3,1,1,"Rango")))</f>
        <v>5</v>
      </c>
      <c r="Y70" s="4">
        <f ca="1">IF(T70=0,0,INDIRECT(ADDRESS(MATCH(W70,Rango!$B$2:$B$101,1)+2,3,1,1,"Rango")))</f>
        <v>7</v>
      </c>
      <c r="Z70" s="4">
        <f>IF(T70=0,0,VLOOKUP(W70-0.01,Rango!$B$2:$B$101,1))</f>
        <v>60</v>
      </c>
      <c r="AA70" s="4">
        <f ca="1">IF(T70=0,0,INDIRECT(ADDRESS(MATCH(W70,Rango!$B$2:$B$101,1)+2,2,1,1,"Rango")))-Z70</f>
        <v>20</v>
      </c>
      <c r="AB70" s="59">
        <f t="shared" ref="AB70:AB75" ca="1" si="76">IF(AND(Y70=0,X70&lt;&gt;0),X70,IF(AA70=0,0,X70+((W70-Z70)*(Y70-X70))/AA70))</f>
        <v>6.9998999999999993</v>
      </c>
      <c r="AC70" s="4">
        <f t="shared" ref="AC70:AC75" si="77">IF(V70&gt;0,1)+(IF(V70&lt;0,-1))</f>
        <v>1</v>
      </c>
      <c r="AD70" s="63">
        <f t="shared" ref="AD70:AD75" ca="1" si="78">AB70*AC70</f>
        <v>6.9998999999999993</v>
      </c>
      <c r="AE70" s="59">
        <f t="shared" ref="AE70:AE75" ca="1" si="79">AD70*U70</f>
        <v>1.0499849999999999</v>
      </c>
      <c r="AF70" s="4" t="s">
        <v>479</v>
      </c>
      <c r="AG70" s="4"/>
      <c r="AH70" s="4"/>
      <c r="AI70" s="4"/>
    </row>
    <row r="71" spans="1:35" x14ac:dyDescent="0.25">
      <c r="A71" s="4"/>
      <c r="B71" s="4"/>
      <c r="C71" s="4" t="s">
        <v>483</v>
      </c>
      <c r="D71" s="4">
        <v>2</v>
      </c>
      <c r="E71" s="4">
        <f>+IF(FormularioFODA!D75="x",1,0)*E$2</f>
        <v>1</v>
      </c>
      <c r="F71" s="4">
        <f>+IF(FormularioFODA!E75="x",1,0)*F$2</f>
        <v>0</v>
      </c>
      <c r="G71" s="4">
        <f>+IF(FormularioFODA!F75="x",1,0)*G$2</f>
        <v>0</v>
      </c>
      <c r="H71" s="4">
        <f>+IF(FormularioFODA!G75="x",1,0)*H$2</f>
        <v>0</v>
      </c>
      <c r="I71" s="4">
        <f>+IF(FormularioFODA!H75="x",1,0)*I$2</f>
        <v>0</v>
      </c>
      <c r="J71" s="4">
        <f t="shared" si="68"/>
        <v>1</v>
      </c>
      <c r="K71" s="4">
        <f>+IF(FormularioFODA!J75="x",1,0)*K$2</f>
        <v>0</v>
      </c>
      <c r="L71" s="4">
        <f>+IF(FormularioFODA!K75="x",1,0)*L$2</f>
        <v>0</v>
      </c>
      <c r="M71" s="4">
        <f>+IF(FormularioFODA!L75="x",1,0)*M$2</f>
        <v>0</v>
      </c>
      <c r="N71" s="4">
        <f>+IF(FormularioFODA!M75="x",1,0)*N$2</f>
        <v>4</v>
      </c>
      <c r="O71" s="4">
        <f t="shared" si="69"/>
        <v>4</v>
      </c>
      <c r="P71" s="34">
        <f t="shared" si="70"/>
        <v>0.2</v>
      </c>
      <c r="Q71" s="59">
        <f t="shared" si="71"/>
        <v>4.0000000000000008E-2</v>
      </c>
      <c r="R71" s="4"/>
      <c r="S71" s="4">
        <v>5</v>
      </c>
      <c r="T71" s="4">
        <f t="shared" si="72"/>
        <v>1</v>
      </c>
      <c r="U71" s="62">
        <f t="shared" si="73"/>
        <v>0.2</v>
      </c>
      <c r="V71" s="4">
        <f t="shared" si="74"/>
        <v>20</v>
      </c>
      <c r="W71" s="4">
        <f t="shared" si="75"/>
        <v>19.998999999999999</v>
      </c>
      <c r="X71" s="4">
        <f ca="1">IF(T71=0,0,INDIRECT(ADDRESS(MATCH(W71,Rango!$B$2:$B$101,1)+1,3,1,1,"Rango")))</f>
        <v>0</v>
      </c>
      <c r="Y71" s="4">
        <f ca="1">IF(T71=0,0,INDIRECT(ADDRESS(MATCH(W71,Rango!$B$2:$B$101,1)+2,3,1,1,"Rango")))</f>
        <v>1</v>
      </c>
      <c r="Z71" s="4">
        <f>IF(T71=0,0,VLOOKUP(W71-0.01,Rango!$B$2:$B$101,1))</f>
        <v>0</v>
      </c>
      <c r="AA71" s="4">
        <f ca="1">IF(T71=0,0,INDIRECT(ADDRESS(MATCH(W71,Rango!$B$2:$B$101,1)+2,2,1,1,"Rango")))-Z71</f>
        <v>20</v>
      </c>
      <c r="AB71" s="59">
        <f t="shared" ca="1" si="76"/>
        <v>0.99994999999999989</v>
      </c>
      <c r="AC71" s="4">
        <f t="shared" si="77"/>
        <v>1</v>
      </c>
      <c r="AD71" s="63">
        <f t="shared" ca="1" si="78"/>
        <v>0.99994999999999989</v>
      </c>
      <c r="AE71" s="59">
        <f t="shared" ca="1" si="79"/>
        <v>0.19999</v>
      </c>
      <c r="AF71" s="4" t="s">
        <v>484</v>
      </c>
      <c r="AG71" s="4"/>
      <c r="AH71" s="4"/>
      <c r="AI71" s="4"/>
    </row>
    <row r="72" spans="1:35" x14ac:dyDescent="0.25">
      <c r="A72" s="4"/>
      <c r="B72" s="4"/>
      <c r="C72" s="4" t="s">
        <v>487</v>
      </c>
      <c r="D72" s="4">
        <v>3</v>
      </c>
      <c r="E72" s="4">
        <f>+IF(FormularioFODA!D76="x",1,0)*E$2</f>
        <v>0</v>
      </c>
      <c r="F72" s="4">
        <f>+IF(FormularioFODA!E76="x",1,0)*F$2</f>
        <v>0</v>
      </c>
      <c r="G72" s="4">
        <f>+IF(FormularioFODA!F76="x",1,0)*G$2</f>
        <v>0</v>
      </c>
      <c r="H72" s="4">
        <f>+IF(FormularioFODA!G76="x",1,0)*H$2</f>
        <v>4</v>
      </c>
      <c r="I72" s="4">
        <f>+IF(FormularioFODA!H76="x",1,0)*I$2</f>
        <v>0</v>
      </c>
      <c r="J72" s="4">
        <f t="shared" si="68"/>
        <v>4</v>
      </c>
      <c r="K72" s="4">
        <f>+IF(FormularioFODA!J76="x",1,0)*K$2</f>
        <v>0</v>
      </c>
      <c r="L72" s="4">
        <f>+IF(FormularioFODA!K76="x",1,0)*L$2</f>
        <v>0</v>
      </c>
      <c r="M72" s="4">
        <f>+IF(FormularioFODA!L76="x",1,0)*M$2</f>
        <v>0</v>
      </c>
      <c r="N72" s="4">
        <f>+IF(FormularioFODA!M76="x",1,0)*N$2</f>
        <v>4</v>
      </c>
      <c r="O72" s="4">
        <f t="shared" si="69"/>
        <v>4</v>
      </c>
      <c r="P72" s="34">
        <f t="shared" si="70"/>
        <v>0.2</v>
      </c>
      <c r="Q72" s="59">
        <f t="shared" si="71"/>
        <v>0.16000000000000003</v>
      </c>
      <c r="R72" s="4"/>
      <c r="S72" s="4">
        <v>5</v>
      </c>
      <c r="T72" s="4">
        <f t="shared" si="72"/>
        <v>4</v>
      </c>
      <c r="U72" s="62">
        <f t="shared" si="73"/>
        <v>0.2</v>
      </c>
      <c r="V72" s="4">
        <f t="shared" si="74"/>
        <v>80</v>
      </c>
      <c r="W72" s="4">
        <f t="shared" si="75"/>
        <v>79.998999999999995</v>
      </c>
      <c r="X72" s="4">
        <f ca="1">IF(T72=0,0,INDIRECT(ADDRESS(MATCH(W72,Rango!$B$2:$B$101,1)+1,3,1,1,"Rango")))</f>
        <v>5</v>
      </c>
      <c r="Y72" s="4">
        <f ca="1">IF(T72=0,0,INDIRECT(ADDRESS(MATCH(W72,Rango!$B$2:$B$101,1)+2,3,1,1,"Rango")))</f>
        <v>7</v>
      </c>
      <c r="Z72" s="4">
        <f>IF(T72=0,0,VLOOKUP(W72-0.01,Rango!$B$2:$B$101,1))</f>
        <v>60</v>
      </c>
      <c r="AA72" s="4">
        <f ca="1">IF(T72=0,0,INDIRECT(ADDRESS(MATCH(W72,Rango!$B$2:$B$101,1)+2,2,1,1,"Rango")))-Z72</f>
        <v>20</v>
      </c>
      <c r="AB72" s="59">
        <f t="shared" ca="1" si="76"/>
        <v>6.9998999999999993</v>
      </c>
      <c r="AC72" s="4">
        <f t="shared" si="77"/>
        <v>1</v>
      </c>
      <c r="AD72" s="63">
        <f t="shared" ca="1" si="78"/>
        <v>6.9998999999999993</v>
      </c>
      <c r="AE72" s="59">
        <f t="shared" ca="1" si="79"/>
        <v>1.39998</v>
      </c>
      <c r="AF72" s="4" t="s">
        <v>488</v>
      </c>
      <c r="AG72" s="4"/>
      <c r="AH72" s="4"/>
      <c r="AI72" s="4"/>
    </row>
    <row r="73" spans="1:35" x14ac:dyDescent="0.25">
      <c r="A73" s="4"/>
      <c r="B73" s="4"/>
      <c r="C73" s="4" t="s">
        <v>491</v>
      </c>
      <c r="D73" s="4">
        <v>4</v>
      </c>
      <c r="E73" s="4">
        <f>+IF(FormularioFODA!D77="x",1,0)*E$2</f>
        <v>0</v>
      </c>
      <c r="F73" s="4">
        <f>+IF(FormularioFODA!E77="x",1,0)*F$2</f>
        <v>0</v>
      </c>
      <c r="G73" s="4">
        <f>+IF(FormularioFODA!F77="x",1,0)*G$2</f>
        <v>3</v>
      </c>
      <c r="H73" s="4">
        <f>+IF(FormularioFODA!G77="x",1,0)*H$2</f>
        <v>0</v>
      </c>
      <c r="I73" s="4">
        <f>+IF(FormularioFODA!H77="x",1,0)*I$2</f>
        <v>0</v>
      </c>
      <c r="J73" s="4">
        <f t="shared" si="68"/>
        <v>3</v>
      </c>
      <c r="K73" s="4">
        <f>+IF(FormularioFODA!J77="x",1,0)*K$2</f>
        <v>0</v>
      </c>
      <c r="L73" s="4">
        <f>+IF(FormularioFODA!K77="x",1,0)*L$2</f>
        <v>0</v>
      </c>
      <c r="M73" s="4">
        <f>+IF(FormularioFODA!L77="x",1,0)*M$2</f>
        <v>3</v>
      </c>
      <c r="N73" s="4">
        <f>+IF(FormularioFODA!M77="x",1,0)*N$2</f>
        <v>0</v>
      </c>
      <c r="O73" s="4">
        <f t="shared" si="69"/>
        <v>3</v>
      </c>
      <c r="P73" s="34">
        <f t="shared" si="70"/>
        <v>0.15</v>
      </c>
      <c r="Q73" s="59">
        <f t="shared" si="71"/>
        <v>0.09</v>
      </c>
      <c r="R73" s="4"/>
      <c r="S73" s="4">
        <v>5</v>
      </c>
      <c r="T73" s="4">
        <f t="shared" si="72"/>
        <v>3</v>
      </c>
      <c r="U73" s="62">
        <f t="shared" si="73"/>
        <v>0.15</v>
      </c>
      <c r="V73" s="4">
        <f t="shared" si="74"/>
        <v>60</v>
      </c>
      <c r="W73" s="4">
        <f t="shared" si="75"/>
        <v>59.999000000000002</v>
      </c>
      <c r="X73" s="4">
        <f ca="1">IF(T73=0,0,INDIRECT(ADDRESS(MATCH(W73,Rango!$B$2:$B$101,1)+1,3,1,1,"Rango")))</f>
        <v>3</v>
      </c>
      <c r="Y73" s="4">
        <f ca="1">IF(T73=0,0,INDIRECT(ADDRESS(MATCH(W73,Rango!$B$2:$B$101,1)+2,3,1,1,"Rango")))</f>
        <v>5</v>
      </c>
      <c r="Z73" s="4">
        <f>IF(T73=0,0,VLOOKUP(W73-0.01,Rango!$B$2:$B$101,1))</f>
        <v>40</v>
      </c>
      <c r="AA73" s="4">
        <f ca="1">IF(T73=0,0,INDIRECT(ADDRESS(MATCH(W73,Rango!$B$2:$B$101,1)+2,2,1,1,"Rango")))-Z73</f>
        <v>20</v>
      </c>
      <c r="AB73" s="59">
        <f t="shared" ca="1" si="76"/>
        <v>4.9999000000000002</v>
      </c>
      <c r="AC73" s="4">
        <f t="shared" si="77"/>
        <v>1</v>
      </c>
      <c r="AD73" s="63">
        <f t="shared" ca="1" si="78"/>
        <v>4.9999000000000002</v>
      </c>
      <c r="AE73" s="59">
        <f t="shared" ca="1" si="79"/>
        <v>0.74998500000000001</v>
      </c>
      <c r="AF73" s="4" t="s">
        <v>492</v>
      </c>
      <c r="AG73" s="4"/>
      <c r="AH73" s="4"/>
      <c r="AI73" s="4"/>
    </row>
    <row r="74" spans="1:35" x14ac:dyDescent="0.25">
      <c r="A74" s="4"/>
      <c r="B74" s="4"/>
      <c r="C74" s="4" t="s">
        <v>495</v>
      </c>
      <c r="D74" s="4">
        <v>5</v>
      </c>
      <c r="E74" s="4">
        <f>+IF(FormularioFODA!D78="x",1,0)*E$2</f>
        <v>0</v>
      </c>
      <c r="F74" s="4">
        <f>+IF(FormularioFODA!E78="x",1,0)*F$2</f>
        <v>0</v>
      </c>
      <c r="G74" s="4">
        <f>+IF(FormularioFODA!F78="x",1,0)*G$2</f>
        <v>3</v>
      </c>
      <c r="H74" s="4">
        <f>+IF(FormularioFODA!G78="x",1,0)*H$2</f>
        <v>0</v>
      </c>
      <c r="I74" s="4">
        <f>+IF(FormularioFODA!H78="x",1,0)*I$2</f>
        <v>0</v>
      </c>
      <c r="J74" s="4">
        <f t="shared" si="68"/>
        <v>3</v>
      </c>
      <c r="K74" s="4">
        <f>+IF(FormularioFODA!J78="x",1,0)*K$2</f>
        <v>0</v>
      </c>
      <c r="L74" s="4">
        <f>+IF(FormularioFODA!K78="x",1,0)*L$2</f>
        <v>0</v>
      </c>
      <c r="M74" s="4">
        <f>+IF(FormularioFODA!L78="x",1,0)*M$2</f>
        <v>3</v>
      </c>
      <c r="N74" s="4">
        <f>+IF(FormularioFODA!M78="x",1,0)*N$2</f>
        <v>0</v>
      </c>
      <c r="O74" s="4">
        <f t="shared" si="69"/>
        <v>3</v>
      </c>
      <c r="P74" s="34">
        <f t="shared" si="70"/>
        <v>0.15</v>
      </c>
      <c r="Q74" s="59">
        <f t="shared" si="71"/>
        <v>0.09</v>
      </c>
      <c r="R74" s="4"/>
      <c r="S74" s="4">
        <v>5</v>
      </c>
      <c r="T74" s="4">
        <f t="shared" si="72"/>
        <v>3</v>
      </c>
      <c r="U74" s="62">
        <f t="shared" si="73"/>
        <v>0.15</v>
      </c>
      <c r="V74" s="4">
        <f t="shared" si="74"/>
        <v>60</v>
      </c>
      <c r="W74" s="4">
        <f t="shared" si="75"/>
        <v>59.999000000000002</v>
      </c>
      <c r="X74" s="4">
        <f ca="1">IF(T74=0,0,INDIRECT(ADDRESS(MATCH(W74,Rango!$B$2:$B$101,1)+1,3,1,1,"Rango")))</f>
        <v>3</v>
      </c>
      <c r="Y74" s="4">
        <f ca="1">IF(T74=0,0,INDIRECT(ADDRESS(MATCH(W74,Rango!$B$2:$B$101,1)+2,3,1,1,"Rango")))</f>
        <v>5</v>
      </c>
      <c r="Z74" s="4">
        <f>IF(T74=0,0,VLOOKUP(W74-0.01,Rango!$B$2:$B$101,1))</f>
        <v>40</v>
      </c>
      <c r="AA74" s="4">
        <f ca="1">IF(T74=0,0,INDIRECT(ADDRESS(MATCH(W74,Rango!$B$2:$B$101,1)+2,2,1,1,"Rango")))-Z74</f>
        <v>20</v>
      </c>
      <c r="AB74" s="59">
        <f t="shared" ca="1" si="76"/>
        <v>4.9999000000000002</v>
      </c>
      <c r="AC74" s="4">
        <f t="shared" si="77"/>
        <v>1</v>
      </c>
      <c r="AD74" s="63">
        <f t="shared" ca="1" si="78"/>
        <v>4.9999000000000002</v>
      </c>
      <c r="AE74" s="59">
        <f t="shared" ca="1" si="79"/>
        <v>0.74998500000000001</v>
      </c>
      <c r="AF74" s="4" t="s">
        <v>496</v>
      </c>
      <c r="AG74" s="4"/>
      <c r="AH74" s="4"/>
      <c r="AI74" s="4"/>
    </row>
    <row r="75" spans="1:35" x14ac:dyDescent="0.25">
      <c r="A75" s="4"/>
      <c r="B75" s="4"/>
      <c r="C75" s="4" t="s">
        <v>499</v>
      </c>
      <c r="D75" s="4">
        <v>6</v>
      </c>
      <c r="E75" s="4">
        <f>+IF(FormularioFODA!D79="x",1,0)*E$2</f>
        <v>0</v>
      </c>
      <c r="F75" s="4">
        <f>+IF(FormularioFODA!E79="x",1,0)*F$2</f>
        <v>0</v>
      </c>
      <c r="G75" s="4">
        <f>+IF(FormularioFODA!F79="x",1,0)*G$2</f>
        <v>0</v>
      </c>
      <c r="H75" s="4">
        <f>+IF(FormularioFODA!G79="x",1,0)*H$2</f>
        <v>0</v>
      </c>
      <c r="I75" s="4">
        <f>+IF(FormularioFODA!H79="x",1,0)*I$2</f>
        <v>5</v>
      </c>
      <c r="J75" s="4">
        <f t="shared" si="68"/>
        <v>5</v>
      </c>
      <c r="K75" s="4">
        <f>+IF(FormularioFODA!J79="x",1,0)*K$2</f>
        <v>0</v>
      </c>
      <c r="L75" s="4">
        <f>+IF(FormularioFODA!K79="x",1,0)*L$2</f>
        <v>0</v>
      </c>
      <c r="M75" s="4">
        <f>+IF(FormularioFODA!L79="x",1,0)*M$2</f>
        <v>3</v>
      </c>
      <c r="N75" s="4">
        <f>+IF(FormularioFODA!M79="x",1,0)*N$2</f>
        <v>0</v>
      </c>
      <c r="O75" s="4">
        <f t="shared" si="69"/>
        <v>3</v>
      </c>
      <c r="P75" s="34">
        <f t="shared" si="70"/>
        <v>0.15</v>
      </c>
      <c r="Q75" s="59">
        <f t="shared" si="71"/>
        <v>0.15</v>
      </c>
      <c r="R75" s="4"/>
      <c r="S75" s="4">
        <v>5</v>
      </c>
      <c r="T75" s="4">
        <f t="shared" si="72"/>
        <v>5</v>
      </c>
      <c r="U75" s="62">
        <f t="shared" si="73"/>
        <v>0.15</v>
      </c>
      <c r="V75" s="4">
        <f t="shared" si="74"/>
        <v>100</v>
      </c>
      <c r="W75" s="4">
        <f t="shared" si="75"/>
        <v>99.998999999999995</v>
      </c>
      <c r="X75" s="4">
        <f ca="1">IF(T75=0,0,INDIRECT(ADDRESS(MATCH(W75,Rango!$B$2:$B$101,1)+1,3,1,1,"Rango")))</f>
        <v>7</v>
      </c>
      <c r="Y75" s="4">
        <f ca="1">IF(T75=0,0,INDIRECT(ADDRESS(MATCH(W75,Rango!$B$2:$B$101,1)+2,3,1,1,"Rango")))</f>
        <v>10</v>
      </c>
      <c r="Z75" s="4">
        <f>IF(T75=0,0,VLOOKUP(W75-0.01,Rango!$B$2:$B$101,1))</f>
        <v>80</v>
      </c>
      <c r="AA75" s="4">
        <f ca="1">IF(T75=0,0,INDIRECT(ADDRESS(MATCH(W75,Rango!$B$2:$B$101,1)+2,2,1,1,"Rango")))-Z75</f>
        <v>20</v>
      </c>
      <c r="AB75" s="59">
        <f t="shared" ca="1" si="76"/>
        <v>9.9998499999999986</v>
      </c>
      <c r="AC75" s="4">
        <f t="shared" si="77"/>
        <v>1</v>
      </c>
      <c r="AD75" s="63">
        <f t="shared" ca="1" si="78"/>
        <v>9.9998499999999986</v>
      </c>
      <c r="AE75" s="59">
        <f t="shared" ca="1" si="79"/>
        <v>1.4999774999999997</v>
      </c>
      <c r="AF75" s="4" t="s">
        <v>500</v>
      </c>
      <c r="AG75" s="4"/>
      <c r="AH75" s="4"/>
      <c r="AI75" s="4"/>
    </row>
    <row r="76" spans="1:35" x14ac:dyDescent="0.25">
      <c r="A76" s="4"/>
      <c r="B76" s="12" t="s">
        <v>823</v>
      </c>
      <c r="C76" s="4"/>
      <c r="D76" s="4"/>
      <c r="E76" s="12">
        <f t="shared" ref="E76:Q76" si="80">SUM(E70:E75)</f>
        <v>1</v>
      </c>
      <c r="F76" s="12">
        <f t="shared" si="80"/>
        <v>0</v>
      </c>
      <c r="G76" s="12">
        <f t="shared" si="80"/>
        <v>6</v>
      </c>
      <c r="H76" s="12">
        <f t="shared" si="80"/>
        <v>8</v>
      </c>
      <c r="I76" s="12">
        <f t="shared" si="80"/>
        <v>5</v>
      </c>
      <c r="J76" s="12">
        <f t="shared" si="80"/>
        <v>20</v>
      </c>
      <c r="K76" s="12">
        <f t="shared" si="80"/>
        <v>0</v>
      </c>
      <c r="L76" s="12">
        <f t="shared" si="80"/>
        <v>0</v>
      </c>
      <c r="M76" s="12">
        <f t="shared" si="80"/>
        <v>12</v>
      </c>
      <c r="N76" s="12">
        <f t="shared" si="80"/>
        <v>8</v>
      </c>
      <c r="O76" s="12">
        <f t="shared" si="80"/>
        <v>20</v>
      </c>
      <c r="P76" s="60">
        <f t="shared" si="80"/>
        <v>1</v>
      </c>
      <c r="Q76" s="61">
        <f t="shared" si="80"/>
        <v>0.65</v>
      </c>
      <c r="R76" s="4"/>
      <c r="S76" s="4">
        <f>SUM(S70:S75)</f>
        <v>30</v>
      </c>
      <c r="T76" s="4"/>
      <c r="U76" s="62"/>
      <c r="V76" s="4"/>
      <c r="W76" s="4"/>
      <c r="X76" s="4"/>
      <c r="Y76" s="4"/>
      <c r="Z76" s="4"/>
      <c r="AA76" s="4"/>
      <c r="AB76" s="59"/>
      <c r="AC76" s="4"/>
      <c r="AD76" s="63"/>
      <c r="AE76" s="68">
        <f ca="1">SUM(AE70:AE75)</f>
        <v>5.6499025000000005</v>
      </c>
      <c r="AF76" s="4"/>
      <c r="AG76" s="4"/>
      <c r="AH76" s="4"/>
      <c r="AI76" s="4"/>
    </row>
    <row r="77" spans="1:35" x14ac:dyDescent="0.25">
      <c r="A77" s="4"/>
      <c r="B77" s="4"/>
      <c r="C77" s="4"/>
      <c r="D77" s="4"/>
      <c r="E77" s="4"/>
      <c r="F77" s="4"/>
      <c r="G77" s="4"/>
      <c r="H77" s="4"/>
      <c r="I77" s="4"/>
      <c r="J77" s="4"/>
      <c r="K77" s="4"/>
      <c r="L77" s="4"/>
      <c r="M77" s="4"/>
      <c r="N77" s="4"/>
      <c r="O77" s="4"/>
      <c r="P77" s="34"/>
      <c r="Q77" s="59"/>
      <c r="R77" s="4"/>
      <c r="S77" s="4"/>
      <c r="T77" s="4"/>
      <c r="U77" s="62"/>
      <c r="V77" s="4"/>
      <c r="W77" s="4"/>
      <c r="X77" s="4"/>
      <c r="Y77" s="4"/>
      <c r="Z77" s="4"/>
      <c r="AA77" s="4"/>
      <c r="AB77" s="59"/>
      <c r="AC77" s="4"/>
      <c r="AD77" s="63"/>
      <c r="AE77" s="59"/>
      <c r="AF77" s="4"/>
      <c r="AG77" s="4"/>
      <c r="AH77" s="4"/>
      <c r="AI77" s="4"/>
    </row>
    <row r="78" spans="1:35" x14ac:dyDescent="0.25">
      <c r="A78" s="4"/>
      <c r="B78" s="4" t="str">
        <f>+FormularioFODA!B82</f>
        <v>Gestión y Compromiso Exportador</v>
      </c>
      <c r="C78" s="4" t="s">
        <v>503</v>
      </c>
      <c r="D78" s="4">
        <v>1</v>
      </c>
      <c r="E78" s="4">
        <f>+IF(FormularioFODA!D83="x",1,0)*E$2</f>
        <v>0</v>
      </c>
      <c r="F78" s="4">
        <f>+IF(FormularioFODA!E83="x",1,0)*F$2</f>
        <v>0</v>
      </c>
      <c r="G78" s="4">
        <f>+IF(FormularioFODA!F83="x",1,0)*G$2</f>
        <v>3</v>
      </c>
      <c r="H78" s="4">
        <f>+IF(FormularioFODA!G83="x",1,0)*H$2</f>
        <v>0</v>
      </c>
      <c r="I78" s="4">
        <f>+IF(FormularioFODA!H83="x",1,0)*I$2</f>
        <v>0</v>
      </c>
      <c r="J78" s="4">
        <f t="shared" ref="J78:J84" si="81">SUM(E78:I78)</f>
        <v>3</v>
      </c>
      <c r="K78" s="4">
        <f>+IF(FormularioFODA!J83="x",1,0)*K$2</f>
        <v>0</v>
      </c>
      <c r="L78" s="4">
        <f>+IF(FormularioFODA!K83="x",1,0)*L$2</f>
        <v>0</v>
      </c>
      <c r="M78" s="4">
        <f>+IF(FormularioFODA!L83="x",1,0)*M$2</f>
        <v>3</v>
      </c>
      <c r="N78" s="4">
        <f>+IF(FormularioFODA!M83="x",1,0)*N$2</f>
        <v>0</v>
      </c>
      <c r="O78" s="4">
        <f t="shared" ref="O78:O84" si="82">SUM(K78:N78)</f>
        <v>3</v>
      </c>
      <c r="P78" s="34">
        <f t="shared" ref="P78:P84" si="83">IF($O$85=0,0,O78/$O$85)</f>
        <v>0.13043478260869565</v>
      </c>
      <c r="Q78" s="59">
        <f t="shared" ref="Q78:Q84" si="84">+(J78/$I$2)*P78</f>
        <v>7.8260869565217384E-2</v>
      </c>
      <c r="R78" s="4"/>
      <c r="S78" s="4">
        <v>5</v>
      </c>
      <c r="T78" s="4">
        <f t="shared" ref="T78:T84" si="85">+J78</f>
        <v>3</v>
      </c>
      <c r="U78" s="62">
        <f t="shared" ref="U78:U84" si="86">+P78</f>
        <v>0.13043478260869565</v>
      </c>
      <c r="V78" s="4">
        <f t="shared" ref="V78:V84" si="87">IF(ISERROR(T78/S78*100-IF(T78/S78&lt;0,100,0)),0,T78/S78*100-IF(T78/S78&lt;0,100,0))</f>
        <v>60</v>
      </c>
      <c r="W78" s="4">
        <f t="shared" ref="W78:W84" si="88">ABS(V78)-0.001</f>
        <v>59.999000000000002</v>
      </c>
      <c r="X78" s="4">
        <f ca="1">IF(T78=0,0,INDIRECT(ADDRESS(MATCH(W78,Rango!$B$2:$B$101,1)+1,3,1,1,"Rango")))</f>
        <v>3</v>
      </c>
      <c r="Y78" s="4">
        <f ca="1">IF(T78=0,0,INDIRECT(ADDRESS(MATCH(W78,Rango!$B$2:$B$101,1)+2,3,1,1,"Rango")))</f>
        <v>5</v>
      </c>
      <c r="Z78" s="4">
        <f>IF(T78=0,0,VLOOKUP(W78-0.01,Rango!$B$2:$B$101,1))</f>
        <v>40</v>
      </c>
      <c r="AA78" s="4">
        <f ca="1">IF(T78=0,0,INDIRECT(ADDRESS(MATCH(W78,Rango!$B$2:$B$101,1)+2,2,1,1,"Rango")))-Z78</f>
        <v>20</v>
      </c>
      <c r="AB78" s="59">
        <f t="shared" ref="AB78:AB84" ca="1" si="89">IF(AND(Y78=0,X78&lt;&gt;0),X78,IF(AA78=0,0,X78+((W78-Z78)*(Y78-X78))/AA78))</f>
        <v>4.9999000000000002</v>
      </c>
      <c r="AC78" s="4">
        <f t="shared" ref="AC78:AC84" si="90">IF(V78&gt;0,1)+(IF(V78&lt;0,-1))</f>
        <v>1</v>
      </c>
      <c r="AD78" s="63">
        <f t="shared" ref="AD78:AD84" ca="1" si="91">AB78*AC78</f>
        <v>4.9999000000000002</v>
      </c>
      <c r="AE78" s="59">
        <f t="shared" ref="AE78:AE84" ca="1" si="92">AD78*U78</f>
        <v>0.65216086956521735</v>
      </c>
      <c r="AF78" s="4" t="s">
        <v>504</v>
      </c>
      <c r="AG78" s="4"/>
      <c r="AH78" s="4"/>
      <c r="AI78" s="4"/>
    </row>
    <row r="79" spans="1:35" x14ac:dyDescent="0.25">
      <c r="A79" s="4"/>
      <c r="B79" s="4"/>
      <c r="C79" s="4" t="s">
        <v>508</v>
      </c>
      <c r="D79" s="4">
        <v>2</v>
      </c>
      <c r="E79" s="4">
        <f>+IF(FormularioFODA!D84="x",1,0)*E$2</f>
        <v>0</v>
      </c>
      <c r="F79" s="4">
        <f>+IF(FormularioFODA!E84="x",1,0)*F$2</f>
        <v>2</v>
      </c>
      <c r="G79" s="4">
        <f>+IF(FormularioFODA!F84="x",1,0)*G$2</f>
        <v>0</v>
      </c>
      <c r="H79" s="4">
        <f>+IF(FormularioFODA!G84="x",1,0)*H$2</f>
        <v>0</v>
      </c>
      <c r="I79" s="4">
        <f>+IF(FormularioFODA!H84="x",1,0)*I$2</f>
        <v>0</v>
      </c>
      <c r="J79" s="4">
        <f t="shared" si="81"/>
        <v>2</v>
      </c>
      <c r="K79" s="4">
        <f>+IF(FormularioFODA!J84="x",1,0)*K$2</f>
        <v>0</v>
      </c>
      <c r="L79" s="4">
        <f>+IF(FormularioFODA!K84="x",1,0)*L$2</f>
        <v>0</v>
      </c>
      <c r="M79" s="4">
        <f>+IF(FormularioFODA!L84="x",1,0)*M$2</f>
        <v>3</v>
      </c>
      <c r="N79" s="4">
        <f>+IF(FormularioFODA!M84="x",1,0)*N$2</f>
        <v>0</v>
      </c>
      <c r="O79" s="4">
        <f t="shared" si="82"/>
        <v>3</v>
      </c>
      <c r="P79" s="34">
        <f t="shared" si="83"/>
        <v>0.13043478260869565</v>
      </c>
      <c r="Q79" s="59">
        <f t="shared" si="84"/>
        <v>5.2173913043478265E-2</v>
      </c>
      <c r="R79" s="4"/>
      <c r="S79" s="4">
        <v>5</v>
      </c>
      <c r="T79" s="4">
        <f t="shared" si="85"/>
        <v>2</v>
      </c>
      <c r="U79" s="62">
        <f t="shared" si="86"/>
        <v>0.13043478260869565</v>
      </c>
      <c r="V79" s="4">
        <f t="shared" si="87"/>
        <v>40</v>
      </c>
      <c r="W79" s="4">
        <f t="shared" si="88"/>
        <v>39.999000000000002</v>
      </c>
      <c r="X79" s="4">
        <f ca="1">IF(T79=0,0,INDIRECT(ADDRESS(MATCH(W79,Rango!$B$2:$B$101,1)+1,3,1,1,"Rango")))</f>
        <v>1</v>
      </c>
      <c r="Y79" s="4">
        <f ca="1">IF(T79=0,0,INDIRECT(ADDRESS(MATCH(W79,Rango!$B$2:$B$101,1)+2,3,1,1,"Rango")))</f>
        <v>3</v>
      </c>
      <c r="Z79" s="4">
        <f>IF(T79=0,0,VLOOKUP(W79-0.01,Rango!$B$2:$B$101,1))</f>
        <v>20</v>
      </c>
      <c r="AA79" s="4">
        <f ca="1">IF(T79=0,0,INDIRECT(ADDRESS(MATCH(W79,Rango!$B$2:$B$101,1)+2,2,1,1,"Rango")))-Z79</f>
        <v>20</v>
      </c>
      <c r="AB79" s="59">
        <f t="shared" ca="1" si="89"/>
        <v>2.9999000000000002</v>
      </c>
      <c r="AC79" s="4">
        <f t="shared" si="90"/>
        <v>1</v>
      </c>
      <c r="AD79" s="63">
        <f t="shared" ca="1" si="91"/>
        <v>2.9999000000000002</v>
      </c>
      <c r="AE79" s="59">
        <f t="shared" ca="1" si="92"/>
        <v>0.39129130434782611</v>
      </c>
      <c r="AF79" s="4" t="s">
        <v>509</v>
      </c>
      <c r="AG79" s="4"/>
      <c r="AH79" s="4"/>
      <c r="AI79" s="4"/>
    </row>
    <row r="80" spans="1:35" x14ac:dyDescent="0.25">
      <c r="A80" s="4"/>
      <c r="B80" s="4"/>
      <c r="C80" s="4" t="s">
        <v>512</v>
      </c>
      <c r="D80" s="4">
        <v>3</v>
      </c>
      <c r="E80" s="4">
        <f>+IF(FormularioFODA!D85="x",1,0)*E$2</f>
        <v>0</v>
      </c>
      <c r="F80" s="4">
        <f>+IF(FormularioFODA!E85="x",1,0)*F$2</f>
        <v>2</v>
      </c>
      <c r="G80" s="4">
        <f>+IF(FormularioFODA!F85="x",1,0)*G$2</f>
        <v>0</v>
      </c>
      <c r="H80" s="4">
        <f>+IF(FormularioFODA!G85="x",1,0)*H$2</f>
        <v>0</v>
      </c>
      <c r="I80" s="4">
        <f>+IF(FormularioFODA!H85="x",1,0)*I$2</f>
        <v>0</v>
      </c>
      <c r="J80" s="4">
        <f t="shared" si="81"/>
        <v>2</v>
      </c>
      <c r="K80" s="4">
        <f>+IF(FormularioFODA!J85="x",1,0)*K$2</f>
        <v>0</v>
      </c>
      <c r="L80" s="4">
        <f>+IF(FormularioFODA!K85="x",1,0)*L$2</f>
        <v>0</v>
      </c>
      <c r="M80" s="4">
        <f>+IF(FormularioFODA!L85="x",1,0)*M$2</f>
        <v>0</v>
      </c>
      <c r="N80" s="4">
        <f>+IF(FormularioFODA!M85="x",1,0)*N$2</f>
        <v>4</v>
      </c>
      <c r="O80" s="4">
        <f t="shared" si="82"/>
        <v>4</v>
      </c>
      <c r="P80" s="34">
        <f t="shared" si="83"/>
        <v>0.17391304347826086</v>
      </c>
      <c r="Q80" s="59">
        <f t="shared" si="84"/>
        <v>6.9565217391304349E-2</v>
      </c>
      <c r="R80" s="4"/>
      <c r="S80" s="4">
        <v>5</v>
      </c>
      <c r="T80" s="4">
        <f t="shared" si="85"/>
        <v>2</v>
      </c>
      <c r="U80" s="62">
        <f t="shared" si="86"/>
        <v>0.17391304347826086</v>
      </c>
      <c r="V80" s="4">
        <f t="shared" si="87"/>
        <v>40</v>
      </c>
      <c r="W80" s="4">
        <f t="shared" si="88"/>
        <v>39.999000000000002</v>
      </c>
      <c r="X80" s="4">
        <f ca="1">IF(T80=0,0,INDIRECT(ADDRESS(MATCH(W80,Rango!$B$2:$B$101,1)+1,3,1,1,"Rango")))</f>
        <v>1</v>
      </c>
      <c r="Y80" s="4">
        <f ca="1">IF(T80=0,0,INDIRECT(ADDRESS(MATCH(W80,Rango!$B$2:$B$101,1)+2,3,1,1,"Rango")))</f>
        <v>3</v>
      </c>
      <c r="Z80" s="4">
        <f>IF(T80=0,0,VLOOKUP(W80-0.01,Rango!$B$2:$B$101,1))</f>
        <v>20</v>
      </c>
      <c r="AA80" s="4">
        <f ca="1">IF(T80=0,0,INDIRECT(ADDRESS(MATCH(W80,Rango!$B$2:$B$101,1)+2,2,1,1,"Rango")))-Z80</f>
        <v>20</v>
      </c>
      <c r="AB80" s="59">
        <f t="shared" ca="1" si="89"/>
        <v>2.9999000000000002</v>
      </c>
      <c r="AC80" s="4">
        <f t="shared" si="90"/>
        <v>1</v>
      </c>
      <c r="AD80" s="63">
        <f t="shared" ca="1" si="91"/>
        <v>2.9999000000000002</v>
      </c>
      <c r="AE80" s="59">
        <f t="shared" ca="1" si="92"/>
        <v>0.52172173913043485</v>
      </c>
      <c r="AF80" s="4" t="s">
        <v>513</v>
      </c>
      <c r="AG80" s="4"/>
      <c r="AH80" s="4"/>
      <c r="AI80" s="4"/>
    </row>
    <row r="81" spans="1:35" x14ac:dyDescent="0.25">
      <c r="A81" s="4"/>
      <c r="B81" s="4"/>
      <c r="C81" s="4" t="s">
        <v>516</v>
      </c>
      <c r="D81" s="4">
        <v>4</v>
      </c>
      <c r="E81" s="4">
        <f>+IF(FormularioFODA!D86="x",1,0)*E$2</f>
        <v>0</v>
      </c>
      <c r="F81" s="4">
        <f>+IF(FormularioFODA!E86="x",1,0)*F$2</f>
        <v>0</v>
      </c>
      <c r="G81" s="4">
        <f>+IF(FormularioFODA!F86="x",1,0)*G$2</f>
        <v>0</v>
      </c>
      <c r="H81" s="4">
        <f>+IF(FormularioFODA!G86="x",1,0)*H$2</f>
        <v>4</v>
      </c>
      <c r="I81" s="4">
        <f>+IF(FormularioFODA!H86="x",1,0)*I$2</f>
        <v>0</v>
      </c>
      <c r="J81" s="4">
        <f t="shared" si="81"/>
        <v>4</v>
      </c>
      <c r="K81" s="4">
        <f>+IF(FormularioFODA!J86="x",1,0)*K$2</f>
        <v>0</v>
      </c>
      <c r="L81" s="4">
        <f>+IF(FormularioFODA!K86="x",1,0)*L$2</f>
        <v>0</v>
      </c>
      <c r="M81" s="4">
        <f>+IF(FormularioFODA!L86="x",1,0)*M$2</f>
        <v>3</v>
      </c>
      <c r="N81" s="4">
        <f>+IF(FormularioFODA!M86="x",1,0)*N$2</f>
        <v>0</v>
      </c>
      <c r="O81" s="4">
        <f t="shared" si="82"/>
        <v>3</v>
      </c>
      <c r="P81" s="34">
        <f t="shared" si="83"/>
        <v>0.13043478260869565</v>
      </c>
      <c r="Q81" s="59">
        <f t="shared" si="84"/>
        <v>0.10434782608695653</v>
      </c>
      <c r="R81" s="4"/>
      <c r="S81" s="4">
        <v>5</v>
      </c>
      <c r="T81" s="4">
        <f t="shared" si="85"/>
        <v>4</v>
      </c>
      <c r="U81" s="62">
        <f t="shared" si="86"/>
        <v>0.13043478260869565</v>
      </c>
      <c r="V81" s="4">
        <f t="shared" si="87"/>
        <v>80</v>
      </c>
      <c r="W81" s="4">
        <f t="shared" si="88"/>
        <v>79.998999999999995</v>
      </c>
      <c r="X81" s="4">
        <f ca="1">IF(T81=0,0,INDIRECT(ADDRESS(MATCH(W81,Rango!$B$2:$B$101,1)+1,3,1,1,"Rango")))</f>
        <v>5</v>
      </c>
      <c r="Y81" s="4">
        <f ca="1">IF(T81=0,0,INDIRECT(ADDRESS(MATCH(W81,Rango!$B$2:$B$101,1)+2,3,1,1,"Rango")))</f>
        <v>7</v>
      </c>
      <c r="Z81" s="4">
        <f>IF(T81=0,0,VLOOKUP(W81-0.01,Rango!$B$2:$B$101,1))</f>
        <v>60</v>
      </c>
      <c r="AA81" s="4">
        <f ca="1">IF(T81=0,0,INDIRECT(ADDRESS(MATCH(W81,Rango!$B$2:$B$101,1)+2,2,1,1,"Rango")))-Z81</f>
        <v>20</v>
      </c>
      <c r="AB81" s="59">
        <f t="shared" ca="1" si="89"/>
        <v>6.9998999999999993</v>
      </c>
      <c r="AC81" s="4">
        <f t="shared" si="90"/>
        <v>1</v>
      </c>
      <c r="AD81" s="63">
        <f t="shared" ca="1" si="91"/>
        <v>6.9998999999999993</v>
      </c>
      <c r="AE81" s="59">
        <f t="shared" ca="1" si="92"/>
        <v>0.91303043478260859</v>
      </c>
      <c r="AF81" s="4" t="s">
        <v>517</v>
      </c>
      <c r="AG81" s="4"/>
      <c r="AH81" s="4"/>
      <c r="AI81" s="4"/>
    </row>
    <row r="82" spans="1:35" x14ac:dyDescent="0.25">
      <c r="A82" s="4"/>
      <c r="B82" s="4"/>
      <c r="C82" s="4" t="s">
        <v>520</v>
      </c>
      <c r="D82" s="4">
        <v>5</v>
      </c>
      <c r="E82" s="4">
        <f>+IF(FormularioFODA!D87="x",1,0)*E$2</f>
        <v>0</v>
      </c>
      <c r="F82" s="4">
        <f>+IF(FormularioFODA!E87="x",1,0)*F$2</f>
        <v>0</v>
      </c>
      <c r="G82" s="4">
        <f>+IF(FormularioFODA!F87="x",1,0)*G$2</f>
        <v>3</v>
      </c>
      <c r="H82" s="4">
        <f>+IF(FormularioFODA!G87="x",1,0)*H$2</f>
        <v>0</v>
      </c>
      <c r="I82" s="4">
        <f>+IF(FormularioFODA!H87="x",1,0)*I$2</f>
        <v>0</v>
      </c>
      <c r="J82" s="4">
        <f t="shared" si="81"/>
        <v>3</v>
      </c>
      <c r="K82" s="4">
        <f>+IF(FormularioFODA!J87="x",1,0)*K$2</f>
        <v>0</v>
      </c>
      <c r="L82" s="4">
        <f>+IF(FormularioFODA!K87="x",1,0)*L$2</f>
        <v>0</v>
      </c>
      <c r="M82" s="4">
        <f>+IF(FormularioFODA!L87="x",1,0)*M$2</f>
        <v>3</v>
      </c>
      <c r="N82" s="4">
        <f>+IF(FormularioFODA!M87="x",1,0)*N$2</f>
        <v>0</v>
      </c>
      <c r="O82" s="4">
        <f t="shared" si="82"/>
        <v>3</v>
      </c>
      <c r="P82" s="34">
        <f t="shared" si="83"/>
        <v>0.13043478260869565</v>
      </c>
      <c r="Q82" s="59">
        <f t="shared" si="84"/>
        <v>7.8260869565217384E-2</v>
      </c>
      <c r="R82" s="4"/>
      <c r="S82" s="4">
        <v>5</v>
      </c>
      <c r="T82" s="4">
        <f t="shared" si="85"/>
        <v>3</v>
      </c>
      <c r="U82" s="62">
        <f t="shared" si="86"/>
        <v>0.13043478260869565</v>
      </c>
      <c r="V82" s="4">
        <f t="shared" si="87"/>
        <v>60</v>
      </c>
      <c r="W82" s="4">
        <f t="shared" si="88"/>
        <v>59.999000000000002</v>
      </c>
      <c r="X82" s="4">
        <f ca="1">IF(T82=0,0,INDIRECT(ADDRESS(MATCH(W82,Rango!$B$2:$B$101,1)+1,3,1,1,"Rango")))</f>
        <v>3</v>
      </c>
      <c r="Y82" s="4">
        <f ca="1">IF(T82=0,0,INDIRECT(ADDRESS(MATCH(W82,Rango!$B$2:$B$101,1)+2,3,1,1,"Rango")))</f>
        <v>5</v>
      </c>
      <c r="Z82" s="4">
        <f>IF(T82=0,0,VLOOKUP(W82-0.01,Rango!$B$2:$B$101,1))</f>
        <v>40</v>
      </c>
      <c r="AA82" s="4">
        <f ca="1">IF(T82=0,0,INDIRECT(ADDRESS(MATCH(W82,Rango!$B$2:$B$101,1)+2,2,1,1,"Rango")))-Z82</f>
        <v>20</v>
      </c>
      <c r="AB82" s="59">
        <f t="shared" ca="1" si="89"/>
        <v>4.9999000000000002</v>
      </c>
      <c r="AC82" s="4">
        <f t="shared" si="90"/>
        <v>1</v>
      </c>
      <c r="AD82" s="63">
        <f t="shared" ca="1" si="91"/>
        <v>4.9999000000000002</v>
      </c>
      <c r="AE82" s="59">
        <f t="shared" ca="1" si="92"/>
        <v>0.65216086956521735</v>
      </c>
      <c r="AF82" s="4" t="s">
        <v>521</v>
      </c>
      <c r="AG82" s="4"/>
      <c r="AH82" s="4"/>
      <c r="AI82" s="4"/>
    </row>
    <row r="83" spans="1:35" x14ac:dyDescent="0.25">
      <c r="A83" s="4"/>
      <c r="B83" s="4"/>
      <c r="C83" s="4" t="s">
        <v>524</v>
      </c>
      <c r="D83" s="4">
        <v>6</v>
      </c>
      <c r="E83" s="4">
        <f>+IF(FormularioFODA!D88="x",1,0)*E$2</f>
        <v>0</v>
      </c>
      <c r="F83" s="4">
        <f>+IF(FormularioFODA!E88="x",1,0)*F$2</f>
        <v>2</v>
      </c>
      <c r="G83" s="4">
        <f>+IF(FormularioFODA!F88="x",1,0)*G$2</f>
        <v>0</v>
      </c>
      <c r="H83" s="4">
        <f>+IF(FormularioFODA!G88="x",1,0)*H$2</f>
        <v>0</v>
      </c>
      <c r="I83" s="4">
        <f>+IF(FormularioFODA!H88="x",1,0)*I$2</f>
        <v>0</v>
      </c>
      <c r="J83" s="4">
        <f t="shared" si="81"/>
        <v>2</v>
      </c>
      <c r="K83" s="4">
        <f>+IF(FormularioFODA!J88="x",1,0)*K$2</f>
        <v>0</v>
      </c>
      <c r="L83" s="4">
        <f>+IF(FormularioFODA!K88="x",1,0)*L$2</f>
        <v>0</v>
      </c>
      <c r="M83" s="4">
        <f>+IF(FormularioFODA!L88="x",1,0)*M$2</f>
        <v>0</v>
      </c>
      <c r="N83" s="4">
        <f>+IF(FormularioFODA!M88="x",1,0)*N$2</f>
        <v>4</v>
      </c>
      <c r="O83" s="4">
        <f t="shared" si="82"/>
        <v>4</v>
      </c>
      <c r="P83" s="34">
        <f t="shared" si="83"/>
        <v>0.17391304347826086</v>
      </c>
      <c r="Q83" s="59">
        <f t="shared" si="84"/>
        <v>6.9565217391304349E-2</v>
      </c>
      <c r="R83" s="4"/>
      <c r="S83" s="4">
        <v>5</v>
      </c>
      <c r="T83" s="4">
        <f t="shared" si="85"/>
        <v>2</v>
      </c>
      <c r="U83" s="62">
        <f t="shared" si="86"/>
        <v>0.17391304347826086</v>
      </c>
      <c r="V83" s="4">
        <f t="shared" si="87"/>
        <v>40</v>
      </c>
      <c r="W83" s="4">
        <f t="shared" si="88"/>
        <v>39.999000000000002</v>
      </c>
      <c r="X83" s="4">
        <f ca="1">IF(T83=0,0,INDIRECT(ADDRESS(MATCH(W83,Rango!$B$2:$B$101,1)+1,3,1,1,"Rango")))</f>
        <v>1</v>
      </c>
      <c r="Y83" s="4">
        <f ca="1">IF(T83=0,0,INDIRECT(ADDRESS(MATCH(W83,Rango!$B$2:$B$101,1)+2,3,1,1,"Rango")))</f>
        <v>3</v>
      </c>
      <c r="Z83" s="4">
        <f>IF(T83=0,0,VLOOKUP(W83-0.01,Rango!$B$2:$B$101,1))</f>
        <v>20</v>
      </c>
      <c r="AA83" s="4">
        <f ca="1">IF(T83=0,0,INDIRECT(ADDRESS(MATCH(W83,Rango!$B$2:$B$101,1)+2,2,1,1,"Rango")))-Z83</f>
        <v>20</v>
      </c>
      <c r="AB83" s="59">
        <f t="shared" ca="1" si="89"/>
        <v>2.9999000000000002</v>
      </c>
      <c r="AC83" s="4">
        <f t="shared" si="90"/>
        <v>1</v>
      </c>
      <c r="AD83" s="63">
        <f t="shared" ca="1" si="91"/>
        <v>2.9999000000000002</v>
      </c>
      <c r="AE83" s="59">
        <f t="shared" ca="1" si="92"/>
        <v>0.52172173913043485</v>
      </c>
      <c r="AF83" s="4" t="s">
        <v>525</v>
      </c>
      <c r="AG83" s="4"/>
      <c r="AH83" s="4"/>
      <c r="AI83" s="4"/>
    </row>
    <row r="84" spans="1:35" x14ac:dyDescent="0.25">
      <c r="A84" s="4"/>
      <c r="B84" s="4"/>
      <c r="C84" s="4" t="s">
        <v>528</v>
      </c>
      <c r="D84" s="4">
        <v>7</v>
      </c>
      <c r="E84" s="4">
        <f>+IF(FormularioFODA!D89="x",1,0)*E$2</f>
        <v>1</v>
      </c>
      <c r="F84" s="4">
        <f>+IF(FormularioFODA!E89="x",1,0)*F$2</f>
        <v>0</v>
      </c>
      <c r="G84" s="4">
        <f>+IF(FormularioFODA!F89="x",1,0)*G$2</f>
        <v>0</v>
      </c>
      <c r="H84" s="4">
        <f>+IF(FormularioFODA!G89="x",1,0)*H$2</f>
        <v>0</v>
      </c>
      <c r="I84" s="4">
        <f>+IF(FormularioFODA!H89="x",1,0)*I$2</f>
        <v>0</v>
      </c>
      <c r="J84" s="4">
        <f t="shared" si="81"/>
        <v>1</v>
      </c>
      <c r="K84" s="4">
        <f>+IF(FormularioFODA!J89="x",1,0)*K$2</f>
        <v>0</v>
      </c>
      <c r="L84" s="4">
        <f>+IF(FormularioFODA!K89="x",1,0)*L$2</f>
        <v>0</v>
      </c>
      <c r="M84" s="4">
        <f>+IF(FormularioFODA!L89="x",1,0)*M$2</f>
        <v>3</v>
      </c>
      <c r="N84" s="4">
        <f>+IF(FormularioFODA!M89="x",1,0)*N$2</f>
        <v>0</v>
      </c>
      <c r="O84" s="4">
        <f t="shared" si="82"/>
        <v>3</v>
      </c>
      <c r="P84" s="34">
        <f t="shared" si="83"/>
        <v>0.13043478260869565</v>
      </c>
      <c r="Q84" s="59">
        <f t="shared" si="84"/>
        <v>2.6086956521739132E-2</v>
      </c>
      <c r="R84" s="4"/>
      <c r="S84" s="4">
        <v>5</v>
      </c>
      <c r="T84" s="4">
        <f t="shared" si="85"/>
        <v>1</v>
      </c>
      <c r="U84" s="62">
        <f t="shared" si="86"/>
        <v>0.13043478260869565</v>
      </c>
      <c r="V84" s="4">
        <f t="shared" si="87"/>
        <v>20</v>
      </c>
      <c r="W84" s="4">
        <f t="shared" si="88"/>
        <v>19.998999999999999</v>
      </c>
      <c r="X84" s="4">
        <f ca="1">IF(T84=0,0,INDIRECT(ADDRESS(MATCH(W84,Rango!$B$2:$B$101,1)+1,3,1,1,"Rango")))</f>
        <v>0</v>
      </c>
      <c r="Y84" s="4">
        <f ca="1">IF(T84=0,0,INDIRECT(ADDRESS(MATCH(W84,Rango!$B$2:$B$101,1)+2,3,1,1,"Rango")))</f>
        <v>1</v>
      </c>
      <c r="Z84" s="4">
        <f>IF(T84=0,0,VLOOKUP(W84-0.01,Rango!$B$2:$B$101,1))</f>
        <v>0</v>
      </c>
      <c r="AA84" s="4">
        <f ca="1">IF(T84=0,0,INDIRECT(ADDRESS(MATCH(W84,Rango!$B$2:$B$101,1)+2,2,1,1,"Rango")))-Z84</f>
        <v>20</v>
      </c>
      <c r="AB84" s="59">
        <f t="shared" ca="1" si="89"/>
        <v>0.99994999999999989</v>
      </c>
      <c r="AC84" s="4">
        <f t="shared" si="90"/>
        <v>1</v>
      </c>
      <c r="AD84" s="63">
        <f t="shared" ca="1" si="91"/>
        <v>0.99994999999999989</v>
      </c>
      <c r="AE84" s="59">
        <f t="shared" ca="1" si="92"/>
        <v>0.13042826086956519</v>
      </c>
      <c r="AF84" s="4" t="s">
        <v>529</v>
      </c>
      <c r="AG84" s="4"/>
      <c r="AH84" s="4"/>
      <c r="AI84" s="4"/>
    </row>
    <row r="85" spans="1:35" x14ac:dyDescent="0.25">
      <c r="A85" s="4"/>
      <c r="B85" s="12" t="s">
        <v>824</v>
      </c>
      <c r="C85" s="4"/>
      <c r="D85" s="4"/>
      <c r="E85" s="12">
        <f t="shared" ref="E85:Q85" si="93">SUM(E78:E84)</f>
        <v>1</v>
      </c>
      <c r="F85" s="12">
        <f t="shared" si="93"/>
        <v>6</v>
      </c>
      <c r="G85" s="12">
        <f t="shared" si="93"/>
        <v>6</v>
      </c>
      <c r="H85" s="12">
        <f t="shared" si="93"/>
        <v>4</v>
      </c>
      <c r="I85" s="12">
        <f t="shared" si="93"/>
        <v>0</v>
      </c>
      <c r="J85" s="12">
        <f t="shared" si="93"/>
        <v>17</v>
      </c>
      <c r="K85" s="12">
        <f t="shared" si="93"/>
        <v>0</v>
      </c>
      <c r="L85" s="12">
        <f t="shared" si="93"/>
        <v>0</v>
      </c>
      <c r="M85" s="12">
        <f t="shared" si="93"/>
        <v>15</v>
      </c>
      <c r="N85" s="12">
        <f t="shared" si="93"/>
        <v>8</v>
      </c>
      <c r="O85" s="12">
        <f t="shared" si="93"/>
        <v>23</v>
      </c>
      <c r="P85" s="60">
        <f t="shared" si="93"/>
        <v>1</v>
      </c>
      <c r="Q85" s="61">
        <f t="shared" si="93"/>
        <v>0.47826086956521741</v>
      </c>
      <c r="R85" s="4"/>
      <c r="S85" s="4">
        <f>SUM(S78:S84)</f>
        <v>35</v>
      </c>
      <c r="T85" s="4"/>
      <c r="U85" s="62"/>
      <c r="V85" s="4"/>
      <c r="W85" s="4"/>
      <c r="X85" s="4"/>
      <c r="Y85" s="4"/>
      <c r="Z85" s="4"/>
      <c r="AA85" s="4"/>
      <c r="AB85" s="59"/>
      <c r="AC85" s="4"/>
      <c r="AD85" s="63"/>
      <c r="AE85" s="68">
        <f ca="1">SUM(AE78:AE84)</f>
        <v>3.7825152173913046</v>
      </c>
      <c r="AF85" s="4"/>
      <c r="AG85" s="4"/>
      <c r="AH85" s="4"/>
      <c r="AI85" s="4"/>
    </row>
    <row r="86" spans="1:35" x14ac:dyDescent="0.25">
      <c r="A86" s="4"/>
      <c r="B86" s="4"/>
      <c r="C86" s="4"/>
      <c r="D86" s="4"/>
      <c r="E86" s="4"/>
      <c r="F86" s="4"/>
      <c r="G86" s="4"/>
      <c r="H86" s="4"/>
      <c r="I86" s="4"/>
      <c r="J86" s="4"/>
      <c r="K86" s="4"/>
      <c r="L86" s="4"/>
      <c r="M86" s="4"/>
      <c r="N86" s="4"/>
      <c r="O86" s="4"/>
      <c r="P86" s="34"/>
      <c r="Q86" s="59"/>
      <c r="R86" s="4"/>
      <c r="S86" s="4"/>
      <c r="T86" s="4"/>
      <c r="U86" s="62"/>
      <c r="V86" s="4"/>
      <c r="W86" s="4"/>
      <c r="X86" s="4"/>
      <c r="Y86" s="4"/>
      <c r="Z86" s="4"/>
      <c r="AA86" s="4"/>
      <c r="AB86" s="59"/>
      <c r="AC86" s="4"/>
      <c r="AD86" s="63"/>
      <c r="AE86" s="59"/>
      <c r="AF86" s="4"/>
      <c r="AG86" s="4"/>
      <c r="AH86" s="4"/>
      <c r="AI86" s="4"/>
    </row>
    <row r="87" spans="1:35" x14ac:dyDescent="0.25">
      <c r="A87" s="4"/>
      <c r="B87" s="4" t="str">
        <f>+FormularioFODA!B92</f>
        <v>Ámbito Político/Legal y Regulatorio</v>
      </c>
      <c r="C87" s="4" t="s">
        <v>532</v>
      </c>
      <c r="D87" s="4">
        <v>1</v>
      </c>
      <c r="E87" s="4">
        <f>+IF(FormularioFODA!D93="x",1,0)*E$2</f>
        <v>0</v>
      </c>
      <c r="F87" s="4">
        <f>+IF(FormularioFODA!E93="x",1,0)*F$2</f>
        <v>0</v>
      </c>
      <c r="G87" s="4">
        <f>+IF(FormularioFODA!F93="x",1,0)*G$2</f>
        <v>3</v>
      </c>
      <c r="H87" s="4">
        <f>+IF(FormularioFODA!G93="x",1,0)*H$2</f>
        <v>0</v>
      </c>
      <c r="I87" s="4">
        <f>+IF(FormularioFODA!H93="x",1,0)*I$2</f>
        <v>0</v>
      </c>
      <c r="J87" s="4">
        <f t="shared" ref="J87:J92" si="94">SUM(E87:I87)</f>
        <v>3</v>
      </c>
      <c r="K87" s="4">
        <f>+IF(FormularioFODA!J93="x",1,0)*K$2</f>
        <v>0</v>
      </c>
      <c r="L87" s="4">
        <f>+IF(FormularioFODA!K93="x",1,0)*L$2</f>
        <v>0</v>
      </c>
      <c r="M87" s="4">
        <f>+IF(FormularioFODA!L93="x",1,0)*M$2</f>
        <v>3</v>
      </c>
      <c r="N87" s="4">
        <f>+IF(FormularioFODA!M93="x",1,0)*N$2</f>
        <v>0</v>
      </c>
      <c r="O87" s="4">
        <f t="shared" ref="O87:O92" si="95">SUM(K87:N87)</f>
        <v>3</v>
      </c>
      <c r="P87" s="34">
        <f t="shared" ref="P87:P92" si="96">IF($O$93=0,0,O87/$O$93)</f>
        <v>0.14285714285714285</v>
      </c>
      <c r="Q87" s="59">
        <f t="shared" ref="Q87:Q92" si="97">+(J87/$I$2)*P87</f>
        <v>8.5714285714285701E-2</v>
      </c>
      <c r="R87" s="4"/>
      <c r="S87" s="4">
        <v>5</v>
      </c>
      <c r="T87" s="4">
        <f t="shared" ref="T87:T92" si="98">+J87</f>
        <v>3</v>
      </c>
      <c r="U87" s="62">
        <f t="shared" ref="U87:U92" si="99">+P87</f>
        <v>0.14285714285714285</v>
      </c>
      <c r="V87" s="4">
        <f t="shared" ref="V87:V92" si="100">IF(ISERROR(T87/S87*100-IF(T87/S87&lt;0,100,0)),0,T87/S87*100-IF(T87/S87&lt;0,100,0))</f>
        <v>60</v>
      </c>
      <c r="W87" s="4">
        <f t="shared" ref="W87:W92" si="101">ABS(V87)-0.001</f>
        <v>59.999000000000002</v>
      </c>
      <c r="X87" s="4">
        <f ca="1">IF(T87=0,0,INDIRECT(ADDRESS(MATCH(W87,Rango!$B$2:$B$101,1)+1,3,1,1,"Rango")))</f>
        <v>3</v>
      </c>
      <c r="Y87" s="4">
        <f ca="1">IF(T87=0,0,INDIRECT(ADDRESS(MATCH(W87,Rango!$B$2:$B$101,1)+2,3,1,1,"Rango")))</f>
        <v>5</v>
      </c>
      <c r="Z87" s="4">
        <f>IF(T87=0,0,VLOOKUP(W87-0.01,Rango!$B$2:$B$101,1))</f>
        <v>40</v>
      </c>
      <c r="AA87" s="4">
        <f ca="1">IF(T87=0,0,INDIRECT(ADDRESS(MATCH(W87,Rango!$B$2:$B$101,1)+2,2,1,1,"Rango")))-Z87</f>
        <v>20</v>
      </c>
      <c r="AB87" s="59">
        <f t="shared" ref="AB87:AB92" ca="1" si="102">IF(AND(Y87=0,X87&lt;&gt;0),X87,IF(AA87=0,0,X87+((W87-Z87)*(Y87-X87))/AA87))</f>
        <v>4.9999000000000002</v>
      </c>
      <c r="AC87" s="4">
        <f t="shared" ref="AC87:AC92" si="103">IF(V87&gt;0,1)+(IF(V87&lt;0,-1))</f>
        <v>1</v>
      </c>
      <c r="AD87" s="63">
        <f t="shared" ref="AD87:AD92" ca="1" si="104">AB87*AC87</f>
        <v>4.9999000000000002</v>
      </c>
      <c r="AE87" s="59">
        <f t="shared" ref="AE87:AE92" ca="1" si="105">AD87*U87</f>
        <v>0.71427142857142856</v>
      </c>
      <c r="AF87" s="4" t="s">
        <v>533</v>
      </c>
      <c r="AG87" s="4"/>
      <c r="AH87" s="4"/>
      <c r="AI87" s="4"/>
    </row>
    <row r="88" spans="1:35" x14ac:dyDescent="0.25">
      <c r="A88" s="4"/>
      <c r="B88" s="4"/>
      <c r="C88" s="4" t="s">
        <v>538</v>
      </c>
      <c r="D88" s="4">
        <v>2</v>
      </c>
      <c r="E88" s="4">
        <f>+IF(FormularioFODA!D94="x",1,0)*E$2</f>
        <v>0</v>
      </c>
      <c r="F88" s="4">
        <f>+IF(FormularioFODA!E94="x",1,0)*F$2</f>
        <v>0</v>
      </c>
      <c r="G88" s="4">
        <f>+IF(FormularioFODA!F94="x",1,0)*G$2</f>
        <v>3</v>
      </c>
      <c r="H88" s="4">
        <f>+IF(FormularioFODA!G94="x",1,0)*H$2</f>
        <v>0</v>
      </c>
      <c r="I88" s="4">
        <f>+IF(FormularioFODA!H94="x",1,0)*I$2</f>
        <v>0</v>
      </c>
      <c r="J88" s="4">
        <f t="shared" si="94"/>
        <v>3</v>
      </c>
      <c r="K88" s="4">
        <f>+IF(FormularioFODA!J94="x",1,0)*K$2</f>
        <v>0</v>
      </c>
      <c r="L88" s="4">
        <f>+IF(FormularioFODA!K94="x",1,0)*L$2</f>
        <v>0</v>
      </c>
      <c r="M88" s="4">
        <f>+IF(FormularioFODA!L94="x",1,0)*M$2</f>
        <v>0</v>
      </c>
      <c r="N88" s="4">
        <f>+IF(FormularioFODA!M94="x",1,0)*N$2</f>
        <v>4</v>
      </c>
      <c r="O88" s="4">
        <f t="shared" si="95"/>
        <v>4</v>
      </c>
      <c r="P88" s="34">
        <f t="shared" si="96"/>
        <v>0.19047619047619047</v>
      </c>
      <c r="Q88" s="59">
        <f t="shared" si="97"/>
        <v>0.11428571428571427</v>
      </c>
      <c r="R88" s="4"/>
      <c r="S88" s="4">
        <v>5</v>
      </c>
      <c r="T88" s="4">
        <f t="shared" si="98"/>
        <v>3</v>
      </c>
      <c r="U88" s="62">
        <f t="shared" si="99"/>
        <v>0.19047619047619047</v>
      </c>
      <c r="V88" s="4">
        <f t="shared" si="100"/>
        <v>60</v>
      </c>
      <c r="W88" s="4">
        <f t="shared" si="101"/>
        <v>59.999000000000002</v>
      </c>
      <c r="X88" s="4">
        <f ca="1">IF(T88=0,0,INDIRECT(ADDRESS(MATCH(W88,Rango!$B$2:$B$101,1)+1,3,1,1,"Rango")))</f>
        <v>3</v>
      </c>
      <c r="Y88" s="4">
        <f ca="1">IF(T88=0,0,INDIRECT(ADDRESS(MATCH(W88,Rango!$B$2:$B$101,1)+2,3,1,1,"Rango")))</f>
        <v>5</v>
      </c>
      <c r="Z88" s="4">
        <f>IF(T88=0,0,VLOOKUP(W88-0.01,Rango!$B$2:$B$101,1))</f>
        <v>40</v>
      </c>
      <c r="AA88" s="4">
        <f ca="1">IF(T88=0,0,INDIRECT(ADDRESS(MATCH(W88,Rango!$B$2:$B$101,1)+2,2,1,1,"Rango")))-Z88</f>
        <v>20</v>
      </c>
      <c r="AB88" s="59">
        <f t="shared" ca="1" si="102"/>
        <v>4.9999000000000002</v>
      </c>
      <c r="AC88" s="4">
        <f t="shared" si="103"/>
        <v>1</v>
      </c>
      <c r="AD88" s="63">
        <f t="shared" ca="1" si="104"/>
        <v>4.9999000000000002</v>
      </c>
      <c r="AE88" s="59">
        <f t="shared" ca="1" si="105"/>
        <v>0.95236190476190474</v>
      </c>
      <c r="AF88" s="4" t="s">
        <v>539</v>
      </c>
      <c r="AG88" s="4"/>
      <c r="AH88" s="4"/>
      <c r="AI88" s="4"/>
    </row>
    <row r="89" spans="1:35" x14ac:dyDescent="0.25">
      <c r="A89" s="4"/>
      <c r="B89" s="4"/>
      <c r="C89" s="4" t="s">
        <v>542</v>
      </c>
      <c r="D89" s="4">
        <v>3</v>
      </c>
      <c r="E89" s="4">
        <f>+IF(FormularioFODA!D95="x",1,0)*E$2</f>
        <v>0</v>
      </c>
      <c r="F89" s="4">
        <f>+IF(FormularioFODA!E95="x",1,0)*F$2</f>
        <v>0</v>
      </c>
      <c r="G89" s="4">
        <f>+IF(FormularioFODA!F95="x",1,0)*G$2</f>
        <v>0</v>
      </c>
      <c r="H89" s="4">
        <f>+IF(FormularioFODA!G95="x",1,0)*H$2</f>
        <v>4</v>
      </c>
      <c r="I89" s="4">
        <f>+IF(FormularioFODA!H95="x",1,0)*I$2</f>
        <v>0</v>
      </c>
      <c r="J89" s="4">
        <f t="shared" si="94"/>
        <v>4</v>
      </c>
      <c r="K89" s="4">
        <f>+IF(FormularioFODA!J95="x",1,0)*K$2</f>
        <v>0</v>
      </c>
      <c r="L89" s="4">
        <f>+IF(FormularioFODA!K95="x",1,0)*L$2</f>
        <v>0</v>
      </c>
      <c r="M89" s="4">
        <f>+IF(FormularioFODA!L95="x",1,0)*M$2</f>
        <v>0</v>
      </c>
      <c r="N89" s="4">
        <f>+IF(FormularioFODA!M95="x",1,0)*N$2</f>
        <v>4</v>
      </c>
      <c r="O89" s="4">
        <f t="shared" si="95"/>
        <v>4</v>
      </c>
      <c r="P89" s="34">
        <f t="shared" si="96"/>
        <v>0.19047619047619047</v>
      </c>
      <c r="Q89" s="59">
        <f t="shared" si="97"/>
        <v>0.15238095238095239</v>
      </c>
      <c r="R89" s="4"/>
      <c r="S89" s="4">
        <v>5</v>
      </c>
      <c r="T89" s="4">
        <f t="shared" si="98"/>
        <v>4</v>
      </c>
      <c r="U89" s="62">
        <f t="shared" si="99"/>
        <v>0.19047619047619047</v>
      </c>
      <c r="V89" s="4">
        <f t="shared" si="100"/>
        <v>80</v>
      </c>
      <c r="W89" s="4">
        <f t="shared" si="101"/>
        <v>79.998999999999995</v>
      </c>
      <c r="X89" s="4">
        <f ca="1">IF(T89=0,0,INDIRECT(ADDRESS(MATCH(W89,Rango!$B$2:$B$101,1)+1,3,1,1,"Rango")))</f>
        <v>5</v>
      </c>
      <c r="Y89" s="4">
        <f ca="1">IF(T89=0,0,INDIRECT(ADDRESS(MATCH(W89,Rango!$B$2:$B$101,1)+2,3,1,1,"Rango")))</f>
        <v>7</v>
      </c>
      <c r="Z89" s="4">
        <f>IF(T89=0,0,VLOOKUP(W89-0.01,Rango!$B$2:$B$101,1))</f>
        <v>60</v>
      </c>
      <c r="AA89" s="4">
        <f ca="1">IF(T89=0,0,INDIRECT(ADDRESS(MATCH(W89,Rango!$B$2:$B$101,1)+2,2,1,1,"Rango")))-Z89</f>
        <v>20</v>
      </c>
      <c r="AB89" s="59">
        <f t="shared" ca="1" si="102"/>
        <v>6.9998999999999993</v>
      </c>
      <c r="AC89" s="4">
        <f t="shared" si="103"/>
        <v>1</v>
      </c>
      <c r="AD89" s="63">
        <f t="shared" ca="1" si="104"/>
        <v>6.9998999999999993</v>
      </c>
      <c r="AE89" s="59">
        <f t="shared" ca="1" si="105"/>
        <v>1.3333142857142855</v>
      </c>
      <c r="AF89" s="4" t="s">
        <v>543</v>
      </c>
      <c r="AG89" s="4"/>
      <c r="AH89" s="4"/>
      <c r="AI89" s="4"/>
    </row>
    <row r="90" spans="1:35" x14ac:dyDescent="0.25">
      <c r="A90" s="4"/>
      <c r="B90" s="4"/>
      <c r="C90" s="4" t="s">
        <v>546</v>
      </c>
      <c r="D90" s="4">
        <v>4</v>
      </c>
      <c r="E90" s="4">
        <f>+IF(FormularioFODA!D96="x",1,0)*E$2</f>
        <v>0</v>
      </c>
      <c r="F90" s="4">
        <f>+IF(FormularioFODA!E96="x",1,0)*F$2</f>
        <v>2</v>
      </c>
      <c r="G90" s="4">
        <f>+IF(FormularioFODA!F96="x",1,0)*G$2</f>
        <v>0</v>
      </c>
      <c r="H90" s="4">
        <f>+IF(FormularioFODA!G96="x",1,0)*H$2</f>
        <v>0</v>
      </c>
      <c r="I90" s="4">
        <f>+IF(FormularioFODA!H96="x",1,0)*I$2</f>
        <v>0</v>
      </c>
      <c r="J90" s="4">
        <f t="shared" si="94"/>
        <v>2</v>
      </c>
      <c r="K90" s="4">
        <f>+IF(FormularioFODA!J96="x",1,0)*K$2</f>
        <v>0</v>
      </c>
      <c r="L90" s="4">
        <f>+IF(FormularioFODA!K96="x",1,0)*L$2</f>
        <v>2</v>
      </c>
      <c r="M90" s="4">
        <f>+IF(FormularioFODA!L96="x",1,0)*M$2</f>
        <v>0</v>
      </c>
      <c r="N90" s="4">
        <f>+IF(FormularioFODA!M96="x",1,0)*N$2</f>
        <v>0</v>
      </c>
      <c r="O90" s="4">
        <f t="shared" si="95"/>
        <v>2</v>
      </c>
      <c r="P90" s="34">
        <f t="shared" si="96"/>
        <v>9.5238095238095233E-2</v>
      </c>
      <c r="Q90" s="59">
        <f t="shared" si="97"/>
        <v>3.8095238095238099E-2</v>
      </c>
      <c r="R90" s="4"/>
      <c r="S90" s="4">
        <v>5</v>
      </c>
      <c r="T90" s="4">
        <f t="shared" si="98"/>
        <v>2</v>
      </c>
      <c r="U90" s="62">
        <f t="shared" si="99"/>
        <v>9.5238095238095233E-2</v>
      </c>
      <c r="V90" s="4">
        <f t="shared" si="100"/>
        <v>40</v>
      </c>
      <c r="W90" s="4">
        <f t="shared" si="101"/>
        <v>39.999000000000002</v>
      </c>
      <c r="X90" s="4">
        <f ca="1">IF(T90=0,0,INDIRECT(ADDRESS(MATCH(W90,Rango!$B$2:$B$101,1)+1,3,1,1,"Rango")))</f>
        <v>1</v>
      </c>
      <c r="Y90" s="4">
        <f ca="1">IF(T90=0,0,INDIRECT(ADDRESS(MATCH(W90,Rango!$B$2:$B$101,1)+2,3,1,1,"Rango")))</f>
        <v>3</v>
      </c>
      <c r="Z90" s="4">
        <f>IF(T90=0,0,VLOOKUP(W90-0.01,Rango!$B$2:$B$101,1))</f>
        <v>20</v>
      </c>
      <c r="AA90" s="4">
        <f ca="1">IF(T90=0,0,INDIRECT(ADDRESS(MATCH(W90,Rango!$B$2:$B$101,1)+2,2,1,1,"Rango")))-Z90</f>
        <v>20</v>
      </c>
      <c r="AB90" s="59">
        <f t="shared" ca="1" si="102"/>
        <v>2.9999000000000002</v>
      </c>
      <c r="AC90" s="4">
        <f t="shared" si="103"/>
        <v>1</v>
      </c>
      <c r="AD90" s="63">
        <f t="shared" ca="1" si="104"/>
        <v>2.9999000000000002</v>
      </c>
      <c r="AE90" s="59">
        <f t="shared" ca="1" si="105"/>
        <v>0.28570476190476191</v>
      </c>
      <c r="AF90" s="4" t="s">
        <v>547</v>
      </c>
      <c r="AG90" s="4"/>
      <c r="AH90" s="4"/>
      <c r="AI90" s="4"/>
    </row>
    <row r="91" spans="1:35" x14ac:dyDescent="0.25">
      <c r="A91" s="4"/>
      <c r="B91" s="4"/>
      <c r="C91" s="4" t="s">
        <v>550</v>
      </c>
      <c r="D91" s="4">
        <v>5</v>
      </c>
      <c r="E91" s="4">
        <f>+IF(FormularioFODA!D97="x",1,0)*E$2</f>
        <v>0</v>
      </c>
      <c r="F91" s="4">
        <f>+IF(FormularioFODA!E97="x",1,0)*F$2</f>
        <v>0</v>
      </c>
      <c r="G91" s="4">
        <f>+IF(FormularioFODA!F97="x",1,0)*G$2</f>
        <v>3</v>
      </c>
      <c r="H91" s="4">
        <f>+IF(FormularioFODA!G97="x",1,0)*H$2</f>
        <v>0</v>
      </c>
      <c r="I91" s="4">
        <f>+IF(FormularioFODA!H97="x",1,0)*I$2</f>
        <v>0</v>
      </c>
      <c r="J91" s="4">
        <f t="shared" si="94"/>
        <v>3</v>
      </c>
      <c r="K91" s="4">
        <f>+IF(FormularioFODA!J97="x",1,0)*K$2</f>
        <v>0</v>
      </c>
      <c r="L91" s="4">
        <f>+IF(FormularioFODA!K97="x",1,0)*L$2</f>
        <v>0</v>
      </c>
      <c r="M91" s="4">
        <f>+IF(FormularioFODA!L97="x",1,0)*M$2</f>
        <v>0</v>
      </c>
      <c r="N91" s="4">
        <f>+IF(FormularioFODA!M97="x",1,0)*N$2</f>
        <v>4</v>
      </c>
      <c r="O91" s="4">
        <f t="shared" si="95"/>
        <v>4</v>
      </c>
      <c r="P91" s="34">
        <f t="shared" si="96"/>
        <v>0.19047619047619047</v>
      </c>
      <c r="Q91" s="59">
        <f t="shared" si="97"/>
        <v>0.11428571428571427</v>
      </c>
      <c r="R91" s="4"/>
      <c r="S91" s="4">
        <v>5</v>
      </c>
      <c r="T91" s="4">
        <f t="shared" si="98"/>
        <v>3</v>
      </c>
      <c r="U91" s="62">
        <f t="shared" si="99"/>
        <v>0.19047619047619047</v>
      </c>
      <c r="V91" s="4">
        <f t="shared" si="100"/>
        <v>60</v>
      </c>
      <c r="W91" s="4">
        <f t="shared" si="101"/>
        <v>59.999000000000002</v>
      </c>
      <c r="X91" s="4">
        <f ca="1">IF(T91=0,0,INDIRECT(ADDRESS(MATCH(W91,Rango!$B$2:$B$101,1)+1,3,1,1,"Rango")))</f>
        <v>3</v>
      </c>
      <c r="Y91" s="4">
        <f ca="1">IF(T91=0,0,INDIRECT(ADDRESS(MATCH(W91,Rango!$B$2:$B$101,1)+2,3,1,1,"Rango")))</f>
        <v>5</v>
      </c>
      <c r="Z91" s="4">
        <f>IF(T91=0,0,VLOOKUP(W91-0.01,Rango!$B$2:$B$101,1))</f>
        <v>40</v>
      </c>
      <c r="AA91" s="4">
        <f ca="1">IF(T91=0,0,INDIRECT(ADDRESS(MATCH(W91,Rango!$B$2:$B$101,1)+2,2,1,1,"Rango")))-Z91</f>
        <v>20</v>
      </c>
      <c r="AB91" s="59">
        <f t="shared" ca="1" si="102"/>
        <v>4.9999000000000002</v>
      </c>
      <c r="AC91" s="4">
        <f t="shared" si="103"/>
        <v>1</v>
      </c>
      <c r="AD91" s="63">
        <f t="shared" ca="1" si="104"/>
        <v>4.9999000000000002</v>
      </c>
      <c r="AE91" s="59">
        <f t="shared" ca="1" si="105"/>
        <v>0.95236190476190474</v>
      </c>
      <c r="AF91" s="4" t="s">
        <v>551</v>
      </c>
      <c r="AG91" s="4"/>
      <c r="AH91" s="4"/>
      <c r="AI91" s="4"/>
    </row>
    <row r="92" spans="1:35" x14ac:dyDescent="0.25">
      <c r="A92" s="4"/>
      <c r="B92" s="4"/>
      <c r="C92" s="4" t="s">
        <v>554</v>
      </c>
      <c r="D92" s="4">
        <v>6</v>
      </c>
      <c r="E92" s="4">
        <f>+IF(FormularioFODA!D98="x",1,0)*E$2</f>
        <v>0</v>
      </c>
      <c r="F92" s="4">
        <f>+IF(FormularioFODA!E98="x",1,0)*F$2</f>
        <v>0</v>
      </c>
      <c r="G92" s="4">
        <f>+IF(FormularioFODA!F98="x",1,0)*G$2</f>
        <v>0</v>
      </c>
      <c r="H92" s="4">
        <f>+IF(FormularioFODA!G98="x",1,0)*H$2</f>
        <v>4</v>
      </c>
      <c r="I92" s="4">
        <f>+IF(FormularioFODA!H98="x",1,0)*I$2</f>
        <v>0</v>
      </c>
      <c r="J92" s="4">
        <f t="shared" si="94"/>
        <v>4</v>
      </c>
      <c r="K92" s="4">
        <f>+IF(FormularioFODA!J98="x",1,0)*K$2</f>
        <v>0</v>
      </c>
      <c r="L92" s="4">
        <f>+IF(FormularioFODA!K98="x",1,0)*L$2</f>
        <v>0</v>
      </c>
      <c r="M92" s="4">
        <f>+IF(FormularioFODA!L98="x",1,0)*M$2</f>
        <v>0</v>
      </c>
      <c r="N92" s="4">
        <f>+IF(FormularioFODA!M98="x",1,0)*N$2</f>
        <v>4</v>
      </c>
      <c r="O92" s="4">
        <f t="shared" si="95"/>
        <v>4</v>
      </c>
      <c r="P92" s="34">
        <f t="shared" si="96"/>
        <v>0.19047619047619047</v>
      </c>
      <c r="Q92" s="59">
        <f t="shared" si="97"/>
        <v>0.15238095238095239</v>
      </c>
      <c r="R92" s="4"/>
      <c r="S92" s="4">
        <v>5</v>
      </c>
      <c r="T92" s="4">
        <f t="shared" si="98"/>
        <v>4</v>
      </c>
      <c r="U92" s="62">
        <f t="shared" si="99"/>
        <v>0.19047619047619047</v>
      </c>
      <c r="V92" s="4">
        <f t="shared" si="100"/>
        <v>80</v>
      </c>
      <c r="W92" s="4">
        <f t="shared" si="101"/>
        <v>79.998999999999995</v>
      </c>
      <c r="X92" s="4">
        <f ca="1">IF(T92=0,0,INDIRECT(ADDRESS(MATCH(W92,Rango!$B$2:$B$101,1)+1,3,1,1,"Rango")))</f>
        <v>5</v>
      </c>
      <c r="Y92" s="4">
        <f ca="1">IF(T92=0,0,INDIRECT(ADDRESS(MATCH(W92,Rango!$B$2:$B$101,1)+2,3,1,1,"Rango")))</f>
        <v>7</v>
      </c>
      <c r="Z92" s="4">
        <f>IF(T92=0,0,VLOOKUP(W92-0.01,Rango!$B$2:$B$101,1))</f>
        <v>60</v>
      </c>
      <c r="AA92" s="4">
        <f ca="1">IF(T92=0,0,INDIRECT(ADDRESS(MATCH(W92,Rango!$B$2:$B$101,1)+2,2,1,1,"Rango")))-Z92</f>
        <v>20</v>
      </c>
      <c r="AB92" s="59">
        <f t="shared" ca="1" si="102"/>
        <v>6.9998999999999993</v>
      </c>
      <c r="AC92" s="4">
        <f t="shared" si="103"/>
        <v>1</v>
      </c>
      <c r="AD92" s="63">
        <f t="shared" ca="1" si="104"/>
        <v>6.9998999999999993</v>
      </c>
      <c r="AE92" s="59">
        <f t="shared" ca="1" si="105"/>
        <v>1.3333142857142855</v>
      </c>
      <c r="AF92" s="4" t="s">
        <v>555</v>
      </c>
      <c r="AG92" s="4"/>
      <c r="AH92" s="4"/>
      <c r="AI92" s="4"/>
    </row>
    <row r="93" spans="1:35" x14ac:dyDescent="0.25">
      <c r="A93" s="4"/>
      <c r="B93" s="12" t="s">
        <v>825</v>
      </c>
      <c r="C93" s="4"/>
      <c r="D93" s="4"/>
      <c r="E93" s="12">
        <f t="shared" ref="E93:Q93" si="106">SUM(E87:E92)</f>
        <v>0</v>
      </c>
      <c r="F93" s="12">
        <f t="shared" si="106"/>
        <v>2</v>
      </c>
      <c r="G93" s="12">
        <f t="shared" si="106"/>
        <v>9</v>
      </c>
      <c r="H93" s="12">
        <f t="shared" si="106"/>
        <v>8</v>
      </c>
      <c r="I93" s="12">
        <f t="shared" si="106"/>
        <v>0</v>
      </c>
      <c r="J93" s="12">
        <f t="shared" si="106"/>
        <v>19</v>
      </c>
      <c r="K93" s="12">
        <f t="shared" si="106"/>
        <v>0</v>
      </c>
      <c r="L93" s="12">
        <f t="shared" si="106"/>
        <v>2</v>
      </c>
      <c r="M93" s="12">
        <f t="shared" si="106"/>
        <v>3</v>
      </c>
      <c r="N93" s="12">
        <f t="shared" si="106"/>
        <v>16</v>
      </c>
      <c r="O93" s="12">
        <f t="shared" si="106"/>
        <v>21</v>
      </c>
      <c r="P93" s="60">
        <f t="shared" si="106"/>
        <v>0.99999999999999989</v>
      </c>
      <c r="Q93" s="61">
        <f t="shared" si="106"/>
        <v>0.65714285714285714</v>
      </c>
      <c r="R93" s="4"/>
      <c r="S93" s="4">
        <f>SUM(S87:S92)</f>
        <v>30</v>
      </c>
      <c r="T93" s="4"/>
      <c r="U93" s="62"/>
      <c r="V93" s="4"/>
      <c r="W93" s="4"/>
      <c r="X93" s="4"/>
      <c r="Y93" s="4"/>
      <c r="Z93" s="4"/>
      <c r="AA93" s="4"/>
      <c r="AB93" s="59"/>
      <c r="AC93" s="4"/>
      <c r="AD93" s="63"/>
      <c r="AE93" s="68">
        <f ca="1">SUM(AE87:AE92)</f>
        <v>5.5713285714285714</v>
      </c>
      <c r="AF93" s="4"/>
      <c r="AG93" s="4"/>
      <c r="AH93" s="4"/>
      <c r="AI93" s="4"/>
    </row>
    <row r="94" spans="1:35" x14ac:dyDescent="0.25">
      <c r="A94" s="4"/>
      <c r="B94" s="4"/>
      <c r="C94" s="4"/>
      <c r="D94" s="4"/>
      <c r="E94" s="4"/>
      <c r="F94" s="4"/>
      <c r="G94" s="4"/>
      <c r="H94" s="4"/>
      <c r="I94" s="4"/>
      <c r="J94" s="4"/>
      <c r="K94" s="4"/>
      <c r="L94" s="4"/>
      <c r="M94" s="4"/>
      <c r="N94" s="4"/>
      <c r="O94" s="4"/>
      <c r="P94" s="34"/>
      <c r="Q94" s="59"/>
      <c r="R94" s="4"/>
      <c r="S94" s="4"/>
      <c r="T94" s="4"/>
      <c r="U94" s="62"/>
      <c r="V94" s="4"/>
      <c r="W94" s="4"/>
      <c r="X94" s="4"/>
      <c r="Y94" s="4"/>
      <c r="Z94" s="4"/>
      <c r="AA94" s="4"/>
      <c r="AB94" s="59"/>
      <c r="AC94" s="4"/>
      <c r="AD94" s="63"/>
      <c r="AE94" s="59"/>
      <c r="AF94" s="4"/>
      <c r="AG94" s="4"/>
      <c r="AH94" s="4"/>
      <c r="AI94" s="4"/>
    </row>
    <row r="95" spans="1:35" x14ac:dyDescent="0.25">
      <c r="A95" s="4"/>
      <c r="B95" s="4" t="str">
        <f>+FormularioFODA!B100</f>
        <v>Ámbito Económico/Financiero/Cambiario</v>
      </c>
      <c r="C95" s="4" t="s">
        <v>558</v>
      </c>
      <c r="D95" s="4">
        <v>1</v>
      </c>
      <c r="E95" s="4">
        <f>+IF(FormularioFODA!D101="x",1,0)*E$2</f>
        <v>0</v>
      </c>
      <c r="F95" s="4">
        <f>+IF(FormularioFODA!E101="x",1,0)*F$2</f>
        <v>2</v>
      </c>
      <c r="G95" s="4">
        <f>+IF(FormularioFODA!F101="x",1,0)*G$2</f>
        <v>0</v>
      </c>
      <c r="H95" s="4">
        <f>+IF(FormularioFODA!G101="x",1,0)*H$2</f>
        <v>0</v>
      </c>
      <c r="I95" s="4">
        <f>+IF(FormularioFODA!H101="x",1,0)*I$2</f>
        <v>0</v>
      </c>
      <c r="J95" s="4">
        <f t="shared" ref="J95:J102" si="107">SUM(E95:I95)</f>
        <v>2</v>
      </c>
      <c r="K95" s="4">
        <f>+IF(FormularioFODA!J101="x",1,0)*K$2</f>
        <v>0</v>
      </c>
      <c r="L95" s="4">
        <f>+IF(FormularioFODA!K101="x",1,0)*L$2</f>
        <v>0</v>
      </c>
      <c r="M95" s="4">
        <f>+IF(FormularioFODA!L101="x",1,0)*M$2</f>
        <v>0</v>
      </c>
      <c r="N95" s="4">
        <f>+IF(FormularioFODA!M101="x",1,0)*N$2</f>
        <v>4</v>
      </c>
      <c r="O95" s="4">
        <f t="shared" ref="O95:O102" si="108">SUM(K95:N95)</f>
        <v>4</v>
      </c>
      <c r="P95" s="34">
        <f t="shared" ref="P95:P102" si="109">IF($O$103=0,0,O95/$O$103)</f>
        <v>0.18181818181818182</v>
      </c>
      <c r="Q95" s="59">
        <f t="shared" ref="Q95:Q102" si="110">+(J95/$I$2)*P95</f>
        <v>7.2727272727272738E-2</v>
      </c>
      <c r="R95" s="4"/>
      <c r="S95" s="4">
        <v>5</v>
      </c>
      <c r="T95" s="4">
        <f t="shared" ref="T95:T102" si="111">+J95</f>
        <v>2</v>
      </c>
      <c r="U95" s="62">
        <f t="shared" ref="U95:U102" si="112">+P95</f>
        <v>0.18181818181818182</v>
      </c>
      <c r="V95" s="4">
        <f t="shared" ref="V95:V102" si="113">IF(ISERROR(T95/S95*100-IF(T95/S95&lt;0,100,0)),0,T95/S95*100-IF(T95/S95&lt;0,100,0))</f>
        <v>40</v>
      </c>
      <c r="W95" s="4">
        <f t="shared" ref="W95:W102" si="114">ABS(V95)-0.001</f>
        <v>39.999000000000002</v>
      </c>
      <c r="X95" s="4">
        <f ca="1">IF(T95=0,0,INDIRECT(ADDRESS(MATCH(W95,Rango!$B$2:$B$101,1)+1,3,1,1,"Rango")))</f>
        <v>1</v>
      </c>
      <c r="Y95" s="4">
        <f ca="1">IF(T95=0,0,INDIRECT(ADDRESS(MATCH(W95,Rango!$B$2:$B$101,1)+2,3,1,1,"Rango")))</f>
        <v>3</v>
      </c>
      <c r="Z95" s="4">
        <f>IF(T95=0,0,VLOOKUP(W95-0.01,Rango!$B$2:$B$101,1))</f>
        <v>20</v>
      </c>
      <c r="AA95" s="4">
        <f ca="1">IF(T95=0,0,INDIRECT(ADDRESS(MATCH(W95,Rango!$B$2:$B$101,1)+2,2,1,1,"Rango")))-Z95</f>
        <v>20</v>
      </c>
      <c r="AB95" s="59">
        <f t="shared" ref="AB95:AB102" ca="1" si="115">IF(AND(Y95=0,X95&lt;&gt;0),X95,IF(AA95=0,0,X95+((W95-Z95)*(Y95-X95))/AA95))</f>
        <v>2.9999000000000002</v>
      </c>
      <c r="AC95" s="4">
        <f t="shared" ref="AC95:AC102" si="116">IF(V95&gt;0,1)+(IF(V95&lt;0,-1))</f>
        <v>1</v>
      </c>
      <c r="AD95" s="63">
        <f t="shared" ref="AD95:AD102" ca="1" si="117">AB95*AC95</f>
        <v>2.9999000000000002</v>
      </c>
      <c r="AE95" s="59">
        <f t="shared" ref="AE95:AE102" ca="1" si="118">AD95*U95</f>
        <v>0.54543636363636372</v>
      </c>
      <c r="AF95" s="4" t="s">
        <v>559</v>
      </c>
      <c r="AG95" s="4"/>
      <c r="AH95" s="4"/>
      <c r="AI95" s="4"/>
    </row>
    <row r="96" spans="1:35" x14ac:dyDescent="0.25">
      <c r="A96" s="4"/>
      <c r="B96" s="4"/>
      <c r="C96" s="4" t="s">
        <v>563</v>
      </c>
      <c r="D96" s="4">
        <v>2</v>
      </c>
      <c r="E96" s="4">
        <f>+IF(FormularioFODA!D102="x",1,0)*E$2</f>
        <v>0</v>
      </c>
      <c r="F96" s="4">
        <f>+IF(FormularioFODA!E102="x",1,0)*F$2</f>
        <v>0</v>
      </c>
      <c r="G96" s="4">
        <f>+IF(FormularioFODA!F102="x",1,0)*G$2</f>
        <v>3</v>
      </c>
      <c r="H96" s="4">
        <f>+IF(FormularioFODA!G102="x",1,0)*H$2</f>
        <v>0</v>
      </c>
      <c r="I96" s="4">
        <f>+IF(FormularioFODA!H102="x",1,0)*I$2</f>
        <v>0</v>
      </c>
      <c r="J96" s="4">
        <f t="shared" si="107"/>
        <v>3</v>
      </c>
      <c r="K96" s="4">
        <f>+IF(FormularioFODA!J102="x",1,0)*K$2</f>
        <v>0</v>
      </c>
      <c r="L96" s="4">
        <f>+IF(FormularioFODA!K102="x",1,0)*L$2</f>
        <v>0</v>
      </c>
      <c r="M96" s="4">
        <f>+IF(FormularioFODA!L102="x",1,0)*M$2</f>
        <v>0</v>
      </c>
      <c r="N96" s="4">
        <f>+IF(FormularioFODA!M102="x",1,0)*N$2</f>
        <v>4</v>
      </c>
      <c r="O96" s="4">
        <f t="shared" si="108"/>
        <v>4</v>
      </c>
      <c r="P96" s="34">
        <f t="shared" si="109"/>
        <v>0.18181818181818182</v>
      </c>
      <c r="Q96" s="59">
        <f t="shared" si="110"/>
        <v>0.10909090909090909</v>
      </c>
      <c r="R96" s="4"/>
      <c r="S96" s="4">
        <v>5</v>
      </c>
      <c r="T96" s="4">
        <f t="shared" si="111"/>
        <v>3</v>
      </c>
      <c r="U96" s="62">
        <f t="shared" si="112"/>
        <v>0.18181818181818182</v>
      </c>
      <c r="V96" s="4">
        <f t="shared" si="113"/>
        <v>60</v>
      </c>
      <c r="W96" s="4">
        <f t="shared" si="114"/>
        <v>59.999000000000002</v>
      </c>
      <c r="X96" s="4">
        <f ca="1">IF(T96=0,0,INDIRECT(ADDRESS(MATCH(W96,Rango!$B$2:$B$101,1)+1,3,1,1,"Rango")))</f>
        <v>3</v>
      </c>
      <c r="Y96" s="4">
        <f ca="1">IF(T96=0,0,INDIRECT(ADDRESS(MATCH(W96,Rango!$B$2:$B$101,1)+2,3,1,1,"Rango")))</f>
        <v>5</v>
      </c>
      <c r="Z96" s="4">
        <f>IF(T96=0,0,VLOOKUP(W96-0.01,Rango!$B$2:$B$101,1))</f>
        <v>40</v>
      </c>
      <c r="AA96" s="4">
        <f ca="1">IF(T96=0,0,INDIRECT(ADDRESS(MATCH(W96,Rango!$B$2:$B$101,1)+2,2,1,1,"Rango")))-Z96</f>
        <v>20</v>
      </c>
      <c r="AB96" s="59">
        <f t="shared" ca="1" si="115"/>
        <v>4.9999000000000002</v>
      </c>
      <c r="AC96" s="4">
        <f t="shared" si="116"/>
        <v>1</v>
      </c>
      <c r="AD96" s="63">
        <f t="shared" ca="1" si="117"/>
        <v>4.9999000000000002</v>
      </c>
      <c r="AE96" s="59">
        <f t="shared" ca="1" si="118"/>
        <v>0.90907272727272737</v>
      </c>
      <c r="AF96" s="4" t="s">
        <v>564</v>
      </c>
      <c r="AG96" s="4"/>
      <c r="AH96" s="4"/>
      <c r="AI96" s="4"/>
    </row>
    <row r="97" spans="1:35" x14ac:dyDescent="0.25">
      <c r="A97" s="4"/>
      <c r="B97" s="4"/>
      <c r="C97" s="4" t="s">
        <v>567</v>
      </c>
      <c r="D97" s="4">
        <v>3</v>
      </c>
      <c r="E97" s="4">
        <f>+IF(FormularioFODA!D103="x",1,0)*E$2</f>
        <v>0</v>
      </c>
      <c r="F97" s="4">
        <f>+IF(FormularioFODA!E103="x",1,0)*F$2</f>
        <v>0</v>
      </c>
      <c r="G97" s="4">
        <f>+IF(FormularioFODA!F103="x",1,0)*G$2</f>
        <v>3</v>
      </c>
      <c r="H97" s="4">
        <f>+IF(FormularioFODA!G103="x",1,0)*H$2</f>
        <v>0</v>
      </c>
      <c r="I97" s="4">
        <f>+IF(FormularioFODA!H103="x",1,0)*I$2</f>
        <v>0</v>
      </c>
      <c r="J97" s="4">
        <f t="shared" si="107"/>
        <v>3</v>
      </c>
      <c r="K97" s="4">
        <f>+IF(FormularioFODA!J103="x",1,0)*K$2</f>
        <v>0</v>
      </c>
      <c r="L97" s="4">
        <f>+IF(FormularioFODA!K103="x",1,0)*L$2</f>
        <v>0</v>
      </c>
      <c r="M97" s="4">
        <f>+IF(FormularioFODA!L103="x",1,0)*M$2</f>
        <v>3</v>
      </c>
      <c r="N97" s="4">
        <f>+IF(FormularioFODA!M103="x",1,0)*N$2</f>
        <v>0</v>
      </c>
      <c r="O97" s="4">
        <f t="shared" si="108"/>
        <v>3</v>
      </c>
      <c r="P97" s="34">
        <f t="shared" si="109"/>
        <v>0.13636363636363635</v>
      </c>
      <c r="Q97" s="59">
        <f t="shared" si="110"/>
        <v>8.1818181818181804E-2</v>
      </c>
      <c r="R97" s="4"/>
      <c r="S97" s="4">
        <v>5</v>
      </c>
      <c r="T97" s="4">
        <f t="shared" si="111"/>
        <v>3</v>
      </c>
      <c r="U97" s="62">
        <f t="shared" si="112"/>
        <v>0.13636363636363635</v>
      </c>
      <c r="V97" s="4">
        <f t="shared" si="113"/>
        <v>60</v>
      </c>
      <c r="W97" s="4">
        <f t="shared" si="114"/>
        <v>59.999000000000002</v>
      </c>
      <c r="X97" s="4">
        <f ca="1">IF(T97=0,0,INDIRECT(ADDRESS(MATCH(W97,Rango!$B$2:$B$101,1)+1,3,1,1,"Rango")))</f>
        <v>3</v>
      </c>
      <c r="Y97" s="4">
        <f ca="1">IF(T97=0,0,INDIRECT(ADDRESS(MATCH(W97,Rango!$B$2:$B$101,1)+2,3,1,1,"Rango")))</f>
        <v>5</v>
      </c>
      <c r="Z97" s="4">
        <f>IF(T97=0,0,VLOOKUP(W97-0.01,Rango!$B$2:$B$101,1))</f>
        <v>40</v>
      </c>
      <c r="AA97" s="4">
        <f ca="1">IF(T97=0,0,INDIRECT(ADDRESS(MATCH(W97,Rango!$B$2:$B$101,1)+2,2,1,1,"Rango")))-Z97</f>
        <v>20</v>
      </c>
      <c r="AB97" s="59">
        <f t="shared" ca="1" si="115"/>
        <v>4.9999000000000002</v>
      </c>
      <c r="AC97" s="4">
        <f t="shared" si="116"/>
        <v>1</v>
      </c>
      <c r="AD97" s="63">
        <f t="shared" ca="1" si="117"/>
        <v>4.9999000000000002</v>
      </c>
      <c r="AE97" s="59">
        <f t="shared" ca="1" si="118"/>
        <v>0.68180454545454539</v>
      </c>
      <c r="AF97" s="4" t="s">
        <v>568</v>
      </c>
      <c r="AG97" s="4"/>
      <c r="AH97" s="4"/>
      <c r="AI97" s="4"/>
    </row>
    <row r="98" spans="1:35" x14ac:dyDescent="0.25">
      <c r="A98" s="4"/>
      <c r="B98" s="4"/>
      <c r="C98" s="4" t="s">
        <v>571</v>
      </c>
      <c r="D98" s="4">
        <v>4</v>
      </c>
      <c r="E98" s="4">
        <f>+IF(FormularioFODA!D104="x",1,0)*E$2</f>
        <v>1</v>
      </c>
      <c r="F98" s="4">
        <f>+IF(FormularioFODA!E104="x",1,0)*F$2</f>
        <v>0</v>
      </c>
      <c r="G98" s="4">
        <f>+IF(FormularioFODA!F104="x",1,0)*G$2</f>
        <v>0</v>
      </c>
      <c r="H98" s="4">
        <f>+IF(FormularioFODA!G104="x",1,0)*H$2</f>
        <v>0</v>
      </c>
      <c r="I98" s="4">
        <f>+IF(FormularioFODA!H104="x",1,0)*I$2</f>
        <v>0</v>
      </c>
      <c r="J98" s="4">
        <f t="shared" si="107"/>
        <v>1</v>
      </c>
      <c r="K98" s="4">
        <f>+IF(FormularioFODA!J104="x",1,0)*K$2</f>
        <v>0</v>
      </c>
      <c r="L98" s="4">
        <f>+IF(FormularioFODA!K104="x",1,0)*L$2</f>
        <v>0</v>
      </c>
      <c r="M98" s="4">
        <f>+IF(FormularioFODA!L104="x",1,0)*M$2</f>
        <v>3</v>
      </c>
      <c r="N98" s="4">
        <f>+IF(FormularioFODA!M104="x",1,0)*N$2</f>
        <v>0</v>
      </c>
      <c r="O98" s="4">
        <f t="shared" si="108"/>
        <v>3</v>
      </c>
      <c r="P98" s="34">
        <f t="shared" si="109"/>
        <v>0.13636363636363635</v>
      </c>
      <c r="Q98" s="59">
        <f t="shared" si="110"/>
        <v>2.7272727272727271E-2</v>
      </c>
      <c r="R98" s="4"/>
      <c r="S98" s="4">
        <v>5</v>
      </c>
      <c r="T98" s="4">
        <f t="shared" si="111"/>
        <v>1</v>
      </c>
      <c r="U98" s="62">
        <f t="shared" si="112"/>
        <v>0.13636363636363635</v>
      </c>
      <c r="V98" s="4">
        <f t="shared" si="113"/>
        <v>20</v>
      </c>
      <c r="W98" s="4">
        <f t="shared" si="114"/>
        <v>19.998999999999999</v>
      </c>
      <c r="X98" s="4">
        <f ca="1">IF(T98=0,0,INDIRECT(ADDRESS(MATCH(W98,Rango!$B$2:$B$101,1)+1,3,1,1,"Rango")))</f>
        <v>0</v>
      </c>
      <c r="Y98" s="4">
        <f ca="1">IF(T98=0,0,INDIRECT(ADDRESS(MATCH(W98,Rango!$B$2:$B$101,1)+2,3,1,1,"Rango")))</f>
        <v>1</v>
      </c>
      <c r="Z98" s="4">
        <f>IF(T98=0,0,VLOOKUP(W98-0.01,Rango!$B$2:$B$101,1))</f>
        <v>0</v>
      </c>
      <c r="AA98" s="4">
        <f ca="1">IF(T98=0,0,INDIRECT(ADDRESS(MATCH(W98,Rango!$B$2:$B$101,1)+2,2,1,1,"Rango")))-Z98</f>
        <v>20</v>
      </c>
      <c r="AB98" s="59">
        <f t="shared" ca="1" si="115"/>
        <v>0.99994999999999989</v>
      </c>
      <c r="AC98" s="4">
        <f t="shared" si="116"/>
        <v>1</v>
      </c>
      <c r="AD98" s="63">
        <f t="shared" ca="1" si="117"/>
        <v>0.99994999999999989</v>
      </c>
      <c r="AE98" s="59">
        <f t="shared" ca="1" si="118"/>
        <v>0.13635681818181816</v>
      </c>
      <c r="AF98" s="4" t="s">
        <v>572</v>
      </c>
      <c r="AG98" s="4"/>
      <c r="AH98" s="4"/>
      <c r="AI98" s="4"/>
    </row>
    <row r="99" spans="1:35" x14ac:dyDescent="0.25">
      <c r="A99" s="4"/>
      <c r="B99" s="4"/>
      <c r="C99" s="4" t="s">
        <v>575</v>
      </c>
      <c r="D99" s="4">
        <v>5</v>
      </c>
      <c r="E99" s="4">
        <f>+IF(FormularioFODA!D105="x",1,0)*E$2</f>
        <v>0</v>
      </c>
      <c r="F99" s="4">
        <f>+IF(FormularioFODA!E105="x",1,0)*F$2</f>
        <v>0</v>
      </c>
      <c r="G99" s="4">
        <f>+IF(FormularioFODA!F105="x",1,0)*G$2</f>
        <v>3</v>
      </c>
      <c r="H99" s="4">
        <f>+IF(FormularioFODA!G105="x",1,0)*H$2</f>
        <v>0</v>
      </c>
      <c r="I99" s="4">
        <f>+IF(FormularioFODA!H105="x",1,0)*I$2</f>
        <v>0</v>
      </c>
      <c r="J99" s="4">
        <f t="shared" si="107"/>
        <v>3</v>
      </c>
      <c r="K99" s="4">
        <f>+IF(FormularioFODA!J105="x",1,0)*K$2</f>
        <v>0</v>
      </c>
      <c r="L99" s="4">
        <f>+IF(FormularioFODA!K105="x",1,0)*L$2</f>
        <v>2</v>
      </c>
      <c r="M99" s="4">
        <f>+IF(FormularioFODA!L105="x",1,0)*M$2</f>
        <v>0</v>
      </c>
      <c r="N99" s="4">
        <f>+IF(FormularioFODA!M105="x",1,0)*N$2</f>
        <v>0</v>
      </c>
      <c r="O99" s="4">
        <f t="shared" si="108"/>
        <v>2</v>
      </c>
      <c r="P99" s="34">
        <f t="shared" si="109"/>
        <v>9.0909090909090912E-2</v>
      </c>
      <c r="Q99" s="59">
        <f t="shared" si="110"/>
        <v>5.4545454545454543E-2</v>
      </c>
      <c r="R99" s="4"/>
      <c r="S99" s="4">
        <v>5</v>
      </c>
      <c r="T99" s="4">
        <f t="shared" si="111"/>
        <v>3</v>
      </c>
      <c r="U99" s="62">
        <f t="shared" si="112"/>
        <v>9.0909090909090912E-2</v>
      </c>
      <c r="V99" s="4">
        <f t="shared" si="113"/>
        <v>60</v>
      </c>
      <c r="W99" s="4">
        <f t="shared" si="114"/>
        <v>59.999000000000002</v>
      </c>
      <c r="X99" s="4">
        <f ca="1">IF(T99=0,0,INDIRECT(ADDRESS(MATCH(W99,Rango!$B$2:$B$101,1)+1,3,1,1,"Rango")))</f>
        <v>3</v>
      </c>
      <c r="Y99" s="4">
        <f ca="1">IF(T99=0,0,INDIRECT(ADDRESS(MATCH(W99,Rango!$B$2:$B$101,1)+2,3,1,1,"Rango")))</f>
        <v>5</v>
      </c>
      <c r="Z99" s="4">
        <f>IF(T99=0,0,VLOOKUP(W99-0.01,Rango!$B$2:$B$101,1))</f>
        <v>40</v>
      </c>
      <c r="AA99" s="4">
        <f ca="1">IF(T99=0,0,INDIRECT(ADDRESS(MATCH(W99,Rango!$B$2:$B$101,1)+2,2,1,1,"Rango")))-Z99</f>
        <v>20</v>
      </c>
      <c r="AB99" s="59">
        <f t="shared" ca="1" si="115"/>
        <v>4.9999000000000002</v>
      </c>
      <c r="AC99" s="4">
        <f t="shared" si="116"/>
        <v>1</v>
      </c>
      <c r="AD99" s="63">
        <f t="shared" ca="1" si="117"/>
        <v>4.9999000000000002</v>
      </c>
      <c r="AE99" s="59">
        <f t="shared" ca="1" si="118"/>
        <v>0.45453636363636368</v>
      </c>
      <c r="AF99" s="4" t="s">
        <v>576</v>
      </c>
      <c r="AG99" s="4"/>
      <c r="AH99" s="4"/>
      <c r="AI99" s="4"/>
    </row>
    <row r="100" spans="1:35" x14ac:dyDescent="0.25">
      <c r="A100" s="4"/>
      <c r="B100" s="4"/>
      <c r="C100" s="4" t="s">
        <v>579</v>
      </c>
      <c r="D100" s="4">
        <v>6</v>
      </c>
      <c r="E100" s="4">
        <f>+IF(FormularioFODA!D106="x",1,0)*E$2</f>
        <v>0</v>
      </c>
      <c r="F100" s="4">
        <f>+IF(FormularioFODA!E106="x",1,0)*F$2</f>
        <v>2</v>
      </c>
      <c r="G100" s="4">
        <f>+IF(FormularioFODA!F106="x",1,0)*G$2</f>
        <v>0</v>
      </c>
      <c r="H100" s="4">
        <f>+IF(FormularioFODA!G106="x",1,0)*H$2</f>
        <v>0</v>
      </c>
      <c r="I100" s="4">
        <f>+IF(FormularioFODA!H106="x",1,0)*I$2</f>
        <v>0</v>
      </c>
      <c r="J100" s="4">
        <f t="shared" si="107"/>
        <v>2</v>
      </c>
      <c r="K100" s="4">
        <f>+IF(FormularioFODA!J106="x",1,0)*K$2</f>
        <v>1</v>
      </c>
      <c r="L100" s="4">
        <f>+IF(FormularioFODA!K106="x",1,0)*L$2</f>
        <v>0</v>
      </c>
      <c r="M100" s="4">
        <f>+IF(FormularioFODA!L106="x",1,0)*M$2</f>
        <v>0</v>
      </c>
      <c r="N100" s="4">
        <f>+IF(FormularioFODA!M106="x",1,0)*N$2</f>
        <v>0</v>
      </c>
      <c r="O100" s="4">
        <f t="shared" si="108"/>
        <v>1</v>
      </c>
      <c r="P100" s="34">
        <f t="shared" si="109"/>
        <v>4.5454545454545456E-2</v>
      </c>
      <c r="Q100" s="59">
        <f t="shared" si="110"/>
        <v>1.8181818181818184E-2</v>
      </c>
      <c r="R100" s="4"/>
      <c r="S100" s="4">
        <v>5</v>
      </c>
      <c r="T100" s="4">
        <f t="shared" si="111"/>
        <v>2</v>
      </c>
      <c r="U100" s="62">
        <f t="shared" si="112"/>
        <v>4.5454545454545456E-2</v>
      </c>
      <c r="V100" s="4">
        <f t="shared" si="113"/>
        <v>40</v>
      </c>
      <c r="W100" s="4">
        <f t="shared" si="114"/>
        <v>39.999000000000002</v>
      </c>
      <c r="X100" s="4">
        <f ca="1">IF(T100=0,0,INDIRECT(ADDRESS(MATCH(W100,Rango!$B$2:$B$101,1)+1,3,1,1,"Rango")))</f>
        <v>1</v>
      </c>
      <c r="Y100" s="4">
        <f ca="1">IF(T100=0,0,INDIRECT(ADDRESS(MATCH(W100,Rango!$B$2:$B$101,1)+2,3,1,1,"Rango")))</f>
        <v>3</v>
      </c>
      <c r="Z100" s="4">
        <f>IF(T100=0,0,VLOOKUP(W100-0.01,Rango!$B$2:$B$101,1))</f>
        <v>20</v>
      </c>
      <c r="AA100" s="4">
        <f ca="1">IF(T100=0,0,INDIRECT(ADDRESS(MATCH(W100,Rango!$B$2:$B$101,1)+2,2,1,1,"Rango")))-Z100</f>
        <v>20</v>
      </c>
      <c r="AB100" s="59">
        <f t="shared" ca="1" si="115"/>
        <v>2.9999000000000002</v>
      </c>
      <c r="AC100" s="4">
        <f t="shared" si="116"/>
        <v>1</v>
      </c>
      <c r="AD100" s="63">
        <f t="shared" ca="1" si="117"/>
        <v>2.9999000000000002</v>
      </c>
      <c r="AE100" s="59">
        <f t="shared" ca="1" si="118"/>
        <v>0.13635909090909093</v>
      </c>
      <c r="AF100" s="4" t="s">
        <v>580</v>
      </c>
      <c r="AG100" s="4"/>
      <c r="AH100" s="4"/>
      <c r="AI100" s="4"/>
    </row>
    <row r="101" spans="1:35" x14ac:dyDescent="0.25">
      <c r="A101" s="4"/>
      <c r="B101" s="4"/>
      <c r="C101" s="4" t="s">
        <v>583</v>
      </c>
      <c r="D101" s="4">
        <v>7</v>
      </c>
      <c r="E101" s="4">
        <f>+IF(FormularioFODA!D107="x",1,0)*E$2</f>
        <v>0</v>
      </c>
      <c r="F101" s="4">
        <f>+IF(FormularioFODA!E107="x",1,0)*F$2</f>
        <v>0</v>
      </c>
      <c r="G101" s="4">
        <f>+IF(FormularioFODA!F107="x",1,0)*G$2</f>
        <v>0</v>
      </c>
      <c r="H101" s="4">
        <f>+IF(FormularioFODA!G107="x",1,0)*H$2</f>
        <v>4</v>
      </c>
      <c r="I101" s="4">
        <f>+IF(FormularioFODA!H107="x",1,0)*I$2</f>
        <v>0</v>
      </c>
      <c r="J101" s="4">
        <f t="shared" si="107"/>
        <v>4</v>
      </c>
      <c r="K101" s="4">
        <f>+IF(FormularioFODA!J107="x",1,0)*K$2</f>
        <v>0</v>
      </c>
      <c r="L101" s="4">
        <f>+IF(FormularioFODA!K107="x",1,0)*L$2</f>
        <v>2</v>
      </c>
      <c r="M101" s="4">
        <f>+IF(FormularioFODA!L107="x",1,0)*M$2</f>
        <v>0</v>
      </c>
      <c r="N101" s="4">
        <f>+IF(FormularioFODA!M107="x",1,0)*N$2</f>
        <v>0</v>
      </c>
      <c r="O101" s="4">
        <f t="shared" si="108"/>
        <v>2</v>
      </c>
      <c r="P101" s="34">
        <f t="shared" si="109"/>
        <v>9.0909090909090912E-2</v>
      </c>
      <c r="Q101" s="59">
        <f t="shared" si="110"/>
        <v>7.2727272727272738E-2</v>
      </c>
      <c r="R101" s="4"/>
      <c r="S101" s="4">
        <v>5</v>
      </c>
      <c r="T101" s="4">
        <f t="shared" si="111"/>
        <v>4</v>
      </c>
      <c r="U101" s="62">
        <f t="shared" si="112"/>
        <v>9.0909090909090912E-2</v>
      </c>
      <c r="V101" s="4">
        <f t="shared" si="113"/>
        <v>80</v>
      </c>
      <c r="W101" s="4">
        <f t="shared" si="114"/>
        <v>79.998999999999995</v>
      </c>
      <c r="X101" s="4">
        <f ca="1">IF(T101=0,0,INDIRECT(ADDRESS(MATCH(W101,Rango!$B$2:$B$101,1)+1,3,1,1,"Rango")))</f>
        <v>5</v>
      </c>
      <c r="Y101" s="4">
        <f ca="1">IF(T101=0,0,INDIRECT(ADDRESS(MATCH(W101,Rango!$B$2:$B$101,1)+2,3,1,1,"Rango")))</f>
        <v>7</v>
      </c>
      <c r="Z101" s="4">
        <f>IF(T101=0,0,VLOOKUP(W101-0.01,Rango!$B$2:$B$101,1))</f>
        <v>60</v>
      </c>
      <c r="AA101" s="4">
        <f ca="1">IF(T101=0,0,INDIRECT(ADDRESS(MATCH(W101,Rango!$B$2:$B$101,1)+2,2,1,1,"Rango")))-Z101</f>
        <v>20</v>
      </c>
      <c r="AB101" s="59">
        <f t="shared" ca="1" si="115"/>
        <v>6.9998999999999993</v>
      </c>
      <c r="AC101" s="4">
        <f t="shared" si="116"/>
        <v>1</v>
      </c>
      <c r="AD101" s="63">
        <f t="shared" ca="1" si="117"/>
        <v>6.9998999999999993</v>
      </c>
      <c r="AE101" s="59">
        <f t="shared" ca="1" si="118"/>
        <v>0.63635454545454539</v>
      </c>
      <c r="AF101" s="4" t="s">
        <v>584</v>
      </c>
      <c r="AG101" s="4"/>
      <c r="AH101" s="4"/>
      <c r="AI101" s="4"/>
    </row>
    <row r="102" spans="1:35" x14ac:dyDescent="0.25">
      <c r="A102" s="4"/>
      <c r="B102" s="4"/>
      <c r="C102" s="4" t="s">
        <v>587</v>
      </c>
      <c r="D102" s="4">
        <v>8</v>
      </c>
      <c r="E102" s="4">
        <f>+IF(FormularioFODA!D108="x",1,0)*E$2</f>
        <v>0</v>
      </c>
      <c r="F102" s="4">
        <f>+IF(FormularioFODA!E108="x",1,0)*F$2</f>
        <v>0</v>
      </c>
      <c r="G102" s="4">
        <f>+IF(FormularioFODA!F108="x",1,0)*G$2</f>
        <v>0</v>
      </c>
      <c r="H102" s="4">
        <f>+IF(FormularioFODA!G108="x",1,0)*H$2</f>
        <v>4</v>
      </c>
      <c r="I102" s="4">
        <f>+IF(FormularioFODA!H108="x",1,0)*I$2</f>
        <v>0</v>
      </c>
      <c r="J102" s="4">
        <f t="shared" si="107"/>
        <v>4</v>
      </c>
      <c r="K102" s="4">
        <f>+IF(FormularioFODA!J108="x",1,0)*K$2</f>
        <v>0</v>
      </c>
      <c r="L102" s="4">
        <f>+IF(FormularioFODA!K108="x",1,0)*L$2</f>
        <v>0</v>
      </c>
      <c r="M102" s="4">
        <f>+IF(FormularioFODA!L108="x",1,0)*M$2</f>
        <v>3</v>
      </c>
      <c r="N102" s="4">
        <f>+IF(FormularioFODA!M108="x",1,0)*N$2</f>
        <v>0</v>
      </c>
      <c r="O102" s="4">
        <f t="shared" si="108"/>
        <v>3</v>
      </c>
      <c r="P102" s="34">
        <f t="shared" si="109"/>
        <v>0.13636363636363635</v>
      </c>
      <c r="Q102" s="59">
        <f t="shared" si="110"/>
        <v>0.10909090909090909</v>
      </c>
      <c r="R102" s="4"/>
      <c r="S102" s="4">
        <v>5</v>
      </c>
      <c r="T102" s="4">
        <f t="shared" si="111"/>
        <v>4</v>
      </c>
      <c r="U102" s="62">
        <f t="shared" si="112"/>
        <v>0.13636363636363635</v>
      </c>
      <c r="V102" s="4">
        <f t="shared" si="113"/>
        <v>80</v>
      </c>
      <c r="W102" s="4">
        <f t="shared" si="114"/>
        <v>79.998999999999995</v>
      </c>
      <c r="X102" s="4">
        <f ca="1">IF(T102=0,0,INDIRECT(ADDRESS(MATCH(W102,Rango!$B$2:$B$101,1)+1,3,1,1,"Rango")))</f>
        <v>5</v>
      </c>
      <c r="Y102" s="4">
        <f ca="1">IF(T102=0,0,INDIRECT(ADDRESS(MATCH(W102,Rango!$B$2:$B$101,1)+2,3,1,1,"Rango")))</f>
        <v>7</v>
      </c>
      <c r="Z102" s="4">
        <f>IF(T102=0,0,VLOOKUP(W102-0.01,Rango!$B$2:$B$101,1))</f>
        <v>60</v>
      </c>
      <c r="AA102" s="4">
        <f ca="1">IF(T102=0,0,INDIRECT(ADDRESS(MATCH(W102,Rango!$B$2:$B$101,1)+2,2,1,1,"Rango")))-Z102</f>
        <v>20</v>
      </c>
      <c r="AB102" s="59">
        <f t="shared" ca="1" si="115"/>
        <v>6.9998999999999993</v>
      </c>
      <c r="AC102" s="4">
        <f t="shared" si="116"/>
        <v>1</v>
      </c>
      <c r="AD102" s="63">
        <f t="shared" ca="1" si="117"/>
        <v>6.9998999999999993</v>
      </c>
      <c r="AE102" s="59">
        <f t="shared" ca="1" si="118"/>
        <v>0.95453181818181798</v>
      </c>
      <c r="AF102" s="4" t="s">
        <v>588</v>
      </c>
      <c r="AG102" s="4"/>
      <c r="AH102" s="4"/>
      <c r="AI102" s="4"/>
    </row>
    <row r="103" spans="1:35" x14ac:dyDescent="0.25">
      <c r="A103" s="4"/>
      <c r="B103" s="12" t="s">
        <v>826</v>
      </c>
      <c r="C103" s="4"/>
      <c r="D103" s="4"/>
      <c r="E103" s="12">
        <f t="shared" ref="E103:Q103" si="119">SUM(E95:E102)</f>
        <v>1</v>
      </c>
      <c r="F103" s="12">
        <f t="shared" si="119"/>
        <v>4</v>
      </c>
      <c r="G103" s="12">
        <f t="shared" si="119"/>
        <v>9</v>
      </c>
      <c r="H103" s="12">
        <f t="shared" si="119"/>
        <v>8</v>
      </c>
      <c r="I103" s="12">
        <f t="shared" si="119"/>
        <v>0</v>
      </c>
      <c r="J103" s="12">
        <f t="shared" si="119"/>
        <v>22</v>
      </c>
      <c r="K103" s="12">
        <f t="shared" si="119"/>
        <v>1</v>
      </c>
      <c r="L103" s="12">
        <f t="shared" si="119"/>
        <v>4</v>
      </c>
      <c r="M103" s="12">
        <f t="shared" si="119"/>
        <v>9</v>
      </c>
      <c r="N103" s="12">
        <f t="shared" si="119"/>
        <v>8</v>
      </c>
      <c r="O103" s="12">
        <f t="shared" si="119"/>
        <v>22</v>
      </c>
      <c r="P103" s="60">
        <f t="shared" si="119"/>
        <v>1</v>
      </c>
      <c r="Q103" s="61">
        <f t="shared" si="119"/>
        <v>0.54545454545454553</v>
      </c>
      <c r="R103" s="4"/>
      <c r="S103" s="4">
        <f>SUM(S95:S102)</f>
        <v>40</v>
      </c>
      <c r="T103" s="4"/>
      <c r="U103" s="62"/>
      <c r="V103" s="4"/>
      <c r="W103" s="4"/>
      <c r="X103" s="4"/>
      <c r="Y103" s="4"/>
      <c r="Z103" s="4"/>
      <c r="AA103" s="4"/>
      <c r="AB103" s="59"/>
      <c r="AC103" s="4"/>
      <c r="AD103" s="63"/>
      <c r="AE103" s="68">
        <f ca="1">SUM(AE95:AE102)</f>
        <v>4.4544522727272726</v>
      </c>
      <c r="AF103" s="4"/>
      <c r="AG103" s="4"/>
      <c r="AH103" s="4"/>
      <c r="AI103" s="4"/>
    </row>
    <row r="104" spans="1:35" x14ac:dyDescent="0.25">
      <c r="A104" s="4"/>
      <c r="B104" s="4"/>
      <c r="C104" s="4"/>
      <c r="D104" s="4"/>
      <c r="E104" s="4"/>
      <c r="F104" s="4"/>
      <c r="G104" s="4"/>
      <c r="H104" s="4"/>
      <c r="I104" s="4"/>
      <c r="J104" s="4"/>
      <c r="K104" s="4"/>
      <c r="L104" s="4"/>
      <c r="M104" s="4"/>
      <c r="N104" s="4"/>
      <c r="O104" s="4"/>
      <c r="P104" s="34"/>
      <c r="Q104" s="59"/>
      <c r="R104" s="4"/>
      <c r="S104" s="4"/>
      <c r="T104" s="4"/>
      <c r="U104" s="62"/>
      <c r="V104" s="4"/>
      <c r="W104" s="4"/>
      <c r="X104" s="4"/>
      <c r="Y104" s="4"/>
      <c r="Z104" s="4"/>
      <c r="AA104" s="4"/>
      <c r="AB104" s="59"/>
      <c r="AC104" s="4"/>
      <c r="AD104" s="63"/>
      <c r="AE104" s="59"/>
      <c r="AF104" s="4"/>
      <c r="AG104" s="4"/>
      <c r="AH104" s="4"/>
      <c r="AI104" s="4"/>
    </row>
    <row r="105" spans="1:35" x14ac:dyDescent="0.25">
      <c r="A105" s="4"/>
      <c r="B105" s="4" t="str">
        <f>+FormularioFODA!B110</f>
        <v>Ámbito Sociocultural</v>
      </c>
      <c r="C105" s="4" t="s">
        <v>591</v>
      </c>
      <c r="D105" s="4">
        <v>1</v>
      </c>
      <c r="E105" s="4">
        <f>+IF(FormularioFODA!D111="x",1,0)*E$2</f>
        <v>0</v>
      </c>
      <c r="F105" s="4">
        <f>+IF(FormularioFODA!E111="x",1,0)*F$2</f>
        <v>0</v>
      </c>
      <c r="G105" s="4">
        <f>+IF(FormularioFODA!F111="x",1,0)*G$2</f>
        <v>3</v>
      </c>
      <c r="H105" s="4">
        <f>+IF(FormularioFODA!G111="x",1,0)*H$2</f>
        <v>0</v>
      </c>
      <c r="I105" s="4">
        <f>+IF(FormularioFODA!H111="x",1,0)*I$2</f>
        <v>0</v>
      </c>
      <c r="J105" s="4">
        <f>SUM(E105:I105)</f>
        <v>3</v>
      </c>
      <c r="K105" s="4">
        <f>+IF(FormularioFODA!J111="x",1,0)*K$2</f>
        <v>1</v>
      </c>
      <c r="L105" s="4">
        <f>+IF(FormularioFODA!K111="x",1,0)*L$2</f>
        <v>0</v>
      </c>
      <c r="M105" s="4">
        <f>+IF(FormularioFODA!L111="x",1,0)*M$2</f>
        <v>0</v>
      </c>
      <c r="N105" s="4">
        <f>+IF(FormularioFODA!M111="x",1,0)*N$2</f>
        <v>0</v>
      </c>
      <c r="O105" s="4">
        <f>SUM(K105:N105)</f>
        <v>1</v>
      </c>
      <c r="P105" s="34">
        <f>IF($O$110=0,0,O105/$O$110)</f>
        <v>7.6923076923076927E-2</v>
      </c>
      <c r="Q105" s="59">
        <f>+(J105/$I$2)*P105</f>
        <v>4.6153846153846156E-2</v>
      </c>
      <c r="R105" s="4"/>
      <c r="S105" s="4">
        <v>5</v>
      </c>
      <c r="T105" s="4">
        <f>+J105</f>
        <v>3</v>
      </c>
      <c r="U105" s="62">
        <f>+P105</f>
        <v>7.6923076923076927E-2</v>
      </c>
      <c r="V105" s="4">
        <f>IF(ISERROR(T105/S105*100-IF(T105/S105&lt;0,100,0)),0,T105/S105*100-IF(T105/S105&lt;0,100,0))</f>
        <v>60</v>
      </c>
      <c r="W105" s="4">
        <f>ABS(V105)-0.001</f>
        <v>59.999000000000002</v>
      </c>
      <c r="X105" s="4">
        <f ca="1">IF(T105=0,0,INDIRECT(ADDRESS(MATCH(W105,Rango!$B$2:$B$101,1)+1,3,1,1,"Rango")))</f>
        <v>3</v>
      </c>
      <c r="Y105" s="4">
        <f ca="1">IF(T105=0,0,INDIRECT(ADDRESS(MATCH(W105,Rango!$B$2:$B$101,1)+2,3,1,1,"Rango")))</f>
        <v>5</v>
      </c>
      <c r="Z105" s="4">
        <f>IF(T105=0,0,VLOOKUP(W105-0.01,Rango!$B$2:$B$101,1))</f>
        <v>40</v>
      </c>
      <c r="AA105" s="4">
        <f ca="1">IF(T105=0,0,INDIRECT(ADDRESS(MATCH(W105,Rango!$B$2:$B$101,1)+2,2,1,1,"Rango")))-Z105</f>
        <v>20</v>
      </c>
      <c r="AB105" s="59">
        <f ca="1">IF(AND(Y105=0,X105&lt;&gt;0),X105,IF(AA105=0,0,X105+((W105-Z105)*(Y105-X105))/AA105))</f>
        <v>4.9999000000000002</v>
      </c>
      <c r="AC105" s="4">
        <f>IF(V105&gt;0,1)+(IF(V105&lt;0,-1))</f>
        <v>1</v>
      </c>
      <c r="AD105" s="63">
        <f ca="1">AB105*AC105</f>
        <v>4.9999000000000002</v>
      </c>
      <c r="AE105" s="59">
        <f ca="1">AD105*U105</f>
        <v>0.38460769230769237</v>
      </c>
      <c r="AF105" s="4" t="s">
        <v>592</v>
      </c>
      <c r="AG105" s="4"/>
      <c r="AH105" s="4"/>
      <c r="AI105" s="4"/>
    </row>
    <row r="106" spans="1:35" x14ac:dyDescent="0.25">
      <c r="A106" s="4"/>
      <c r="B106" s="4"/>
      <c r="C106" s="4" t="s">
        <v>596</v>
      </c>
      <c r="D106" s="4">
        <v>2</v>
      </c>
      <c r="E106" s="4">
        <f>+IF(FormularioFODA!D112="x",1,0)*E$2</f>
        <v>0</v>
      </c>
      <c r="F106" s="4">
        <f>+IF(FormularioFODA!E112="x",1,0)*F$2</f>
        <v>0</v>
      </c>
      <c r="G106" s="4">
        <f>+IF(FormularioFODA!F112="x",1,0)*G$2</f>
        <v>0</v>
      </c>
      <c r="H106" s="4">
        <f>+IF(FormularioFODA!G112="x",1,0)*H$2</f>
        <v>0</v>
      </c>
      <c r="I106" s="4">
        <f>+IF(FormularioFODA!H112="x",1,0)*I$2</f>
        <v>5</v>
      </c>
      <c r="J106" s="4">
        <f>SUM(E106:I106)</f>
        <v>5</v>
      </c>
      <c r="K106" s="4">
        <f>+IF(FormularioFODA!J112="x",1,0)*K$2</f>
        <v>0</v>
      </c>
      <c r="L106" s="4">
        <f>+IF(FormularioFODA!K112="x",1,0)*L$2</f>
        <v>0</v>
      </c>
      <c r="M106" s="4">
        <f>+IF(FormularioFODA!L112="x",1,0)*M$2</f>
        <v>3</v>
      </c>
      <c r="N106" s="4">
        <f>+IF(FormularioFODA!M112="x",1,0)*N$2</f>
        <v>0</v>
      </c>
      <c r="O106" s="4">
        <f>SUM(K106:N106)</f>
        <v>3</v>
      </c>
      <c r="P106" s="34">
        <f>IF($O$110=0,0,O106/$O$110)</f>
        <v>0.23076923076923078</v>
      </c>
      <c r="Q106" s="59">
        <f>+(J106/$I$2)*P106</f>
        <v>0.23076923076923078</v>
      </c>
      <c r="R106" s="4"/>
      <c r="S106" s="4">
        <v>5</v>
      </c>
      <c r="T106" s="4">
        <f>+J106</f>
        <v>5</v>
      </c>
      <c r="U106" s="62">
        <f>+P106</f>
        <v>0.23076923076923078</v>
      </c>
      <c r="V106" s="4">
        <f>IF(ISERROR(T106/S106*100-IF(T106/S106&lt;0,100,0)),0,T106/S106*100-IF(T106/S106&lt;0,100,0))</f>
        <v>100</v>
      </c>
      <c r="W106" s="4">
        <f>ABS(V106)-0.001</f>
        <v>99.998999999999995</v>
      </c>
      <c r="X106" s="4">
        <f ca="1">IF(T106=0,0,INDIRECT(ADDRESS(MATCH(W106,Rango!$B$2:$B$101,1)+1,3,1,1,"Rango")))</f>
        <v>7</v>
      </c>
      <c r="Y106" s="4">
        <f ca="1">IF(T106=0,0,INDIRECT(ADDRESS(MATCH(W106,Rango!$B$2:$B$101,1)+2,3,1,1,"Rango")))</f>
        <v>10</v>
      </c>
      <c r="Z106" s="4">
        <f>IF(T106=0,0,VLOOKUP(W106-0.01,Rango!$B$2:$B$101,1))</f>
        <v>80</v>
      </c>
      <c r="AA106" s="4">
        <f ca="1">IF(T106=0,0,INDIRECT(ADDRESS(MATCH(W106,Rango!$B$2:$B$101,1)+2,2,1,1,"Rango")))-Z106</f>
        <v>20</v>
      </c>
      <c r="AB106" s="59">
        <f ca="1">IF(AND(Y106=0,X106&lt;&gt;0),X106,IF(AA106=0,0,X106+((W106-Z106)*(Y106-X106))/AA106))</f>
        <v>9.9998499999999986</v>
      </c>
      <c r="AC106" s="4">
        <f>IF(V106&gt;0,1)+(IF(V106&lt;0,-1))</f>
        <v>1</v>
      </c>
      <c r="AD106" s="63">
        <f ca="1">AB106*AC106</f>
        <v>9.9998499999999986</v>
      </c>
      <c r="AE106" s="59">
        <f ca="1">AD106*U106</f>
        <v>2.3076576923076919</v>
      </c>
      <c r="AF106" s="4" t="s">
        <v>597</v>
      </c>
      <c r="AG106" s="4"/>
      <c r="AH106" s="4"/>
      <c r="AI106" s="4"/>
    </row>
    <row r="107" spans="1:35" x14ac:dyDescent="0.25">
      <c r="A107" s="4"/>
      <c r="B107" s="4"/>
      <c r="C107" s="4" t="s">
        <v>600</v>
      </c>
      <c r="D107" s="4">
        <v>3</v>
      </c>
      <c r="E107" s="4">
        <f>+IF(FormularioFODA!D113="x",1,0)*E$2</f>
        <v>0</v>
      </c>
      <c r="F107" s="4">
        <f>+IF(FormularioFODA!E113="x",1,0)*F$2</f>
        <v>0</v>
      </c>
      <c r="G107" s="4">
        <f>+IF(FormularioFODA!F113="x",1,0)*G$2</f>
        <v>3</v>
      </c>
      <c r="H107" s="4">
        <f>+IF(FormularioFODA!G113="x",1,0)*H$2</f>
        <v>0</v>
      </c>
      <c r="I107" s="4">
        <f>+IF(FormularioFODA!H113="x",1,0)*I$2</f>
        <v>0</v>
      </c>
      <c r="J107" s="4">
        <f>SUM(E107:I107)</f>
        <v>3</v>
      </c>
      <c r="K107" s="4">
        <f>+IF(FormularioFODA!J113="x",1,0)*K$2</f>
        <v>0</v>
      </c>
      <c r="L107" s="4">
        <f>+IF(FormularioFODA!K113="x",1,0)*L$2</f>
        <v>0</v>
      </c>
      <c r="M107" s="4">
        <f>+IF(FormularioFODA!L113="x",1,0)*M$2</f>
        <v>3</v>
      </c>
      <c r="N107" s="4">
        <f>+IF(FormularioFODA!M113="x",1,0)*N$2</f>
        <v>0</v>
      </c>
      <c r="O107" s="4">
        <f>SUM(K107:N107)</f>
        <v>3</v>
      </c>
      <c r="P107" s="34">
        <f>IF($O$110=0,0,O107/$O$110)</f>
        <v>0.23076923076923078</v>
      </c>
      <c r="Q107" s="59">
        <f>+(J107/$I$2)*P107</f>
        <v>0.13846153846153847</v>
      </c>
      <c r="R107" s="4"/>
      <c r="S107" s="4">
        <v>5</v>
      </c>
      <c r="T107" s="4">
        <f>+J107</f>
        <v>3</v>
      </c>
      <c r="U107" s="62">
        <f>+P107</f>
        <v>0.23076923076923078</v>
      </c>
      <c r="V107" s="4">
        <f>IF(ISERROR(T107/S107*100-IF(T107/S107&lt;0,100,0)),0,T107/S107*100-IF(T107/S107&lt;0,100,0))</f>
        <v>60</v>
      </c>
      <c r="W107" s="4">
        <f>ABS(V107)-0.001</f>
        <v>59.999000000000002</v>
      </c>
      <c r="X107" s="4">
        <f ca="1">IF(T107=0,0,INDIRECT(ADDRESS(MATCH(W107,Rango!$B$2:$B$101,1)+1,3,1,1,"Rango")))</f>
        <v>3</v>
      </c>
      <c r="Y107" s="4">
        <f ca="1">IF(T107=0,0,INDIRECT(ADDRESS(MATCH(W107,Rango!$B$2:$B$101,1)+2,3,1,1,"Rango")))</f>
        <v>5</v>
      </c>
      <c r="Z107" s="4">
        <f>IF(T107=0,0,VLOOKUP(W107-0.01,Rango!$B$2:$B$101,1))</f>
        <v>40</v>
      </c>
      <c r="AA107" s="4">
        <f ca="1">IF(T107=0,0,INDIRECT(ADDRESS(MATCH(W107,Rango!$B$2:$B$101,1)+2,2,1,1,"Rango")))-Z107</f>
        <v>20</v>
      </c>
      <c r="AB107" s="59">
        <f ca="1">IF(AND(Y107=0,X107&lt;&gt;0),X107,IF(AA107=0,0,X107+((W107-Z107)*(Y107-X107))/AA107))</f>
        <v>4.9999000000000002</v>
      </c>
      <c r="AC107" s="4">
        <f>IF(V107&gt;0,1)+(IF(V107&lt;0,-1))</f>
        <v>1</v>
      </c>
      <c r="AD107" s="63">
        <f ca="1">AB107*AC107</f>
        <v>4.9999000000000002</v>
      </c>
      <c r="AE107" s="59">
        <f ca="1">AD107*U107</f>
        <v>1.1538230769230771</v>
      </c>
      <c r="AF107" s="4" t="s">
        <v>601</v>
      </c>
      <c r="AG107" s="4"/>
      <c r="AH107" s="4"/>
      <c r="AI107" s="4"/>
    </row>
    <row r="108" spans="1:35" x14ac:dyDescent="0.25">
      <c r="A108" s="4"/>
      <c r="B108" s="4"/>
      <c r="C108" s="4" t="s">
        <v>604</v>
      </c>
      <c r="D108" s="4">
        <v>4</v>
      </c>
      <c r="E108" s="4">
        <f>+IF(FormularioFODA!D114="x",1,0)*E$2</f>
        <v>0</v>
      </c>
      <c r="F108" s="4">
        <f>+IF(FormularioFODA!E114="x",1,0)*F$2</f>
        <v>0</v>
      </c>
      <c r="G108" s="4">
        <f>+IF(FormularioFODA!F114="x",1,0)*G$2</f>
        <v>0</v>
      </c>
      <c r="H108" s="4">
        <f>+IF(FormularioFODA!G114="x",1,0)*H$2</f>
        <v>4</v>
      </c>
      <c r="I108" s="4">
        <f>+IF(FormularioFODA!H114="x",1,0)*I$2</f>
        <v>0</v>
      </c>
      <c r="J108" s="4">
        <f>SUM(E108:I108)</f>
        <v>4</v>
      </c>
      <c r="K108" s="4">
        <f>+IF(FormularioFODA!J114="x",1,0)*K$2</f>
        <v>0</v>
      </c>
      <c r="L108" s="4">
        <f>+IF(FormularioFODA!K114="x",1,0)*L$2</f>
        <v>2</v>
      </c>
      <c r="M108" s="4">
        <f>+IF(FormularioFODA!L114="x",1,0)*M$2</f>
        <v>0</v>
      </c>
      <c r="N108" s="4">
        <f>+IF(FormularioFODA!M114="x",1,0)*N$2</f>
        <v>0</v>
      </c>
      <c r="O108" s="4">
        <f>SUM(K108:N108)</f>
        <v>2</v>
      </c>
      <c r="P108" s="34">
        <f>IF($O$110=0,0,O108/$O$110)</f>
        <v>0.15384615384615385</v>
      </c>
      <c r="Q108" s="59">
        <f>+(J108/$I$2)*P108</f>
        <v>0.12307692307692308</v>
      </c>
      <c r="R108" s="4"/>
      <c r="S108" s="4">
        <v>5</v>
      </c>
      <c r="T108" s="4">
        <f>+J108</f>
        <v>4</v>
      </c>
      <c r="U108" s="62">
        <f>+P108</f>
        <v>0.15384615384615385</v>
      </c>
      <c r="V108" s="4">
        <f>IF(ISERROR(T108/S108*100-IF(T108/S108&lt;0,100,0)),0,T108/S108*100-IF(T108/S108&lt;0,100,0))</f>
        <v>80</v>
      </c>
      <c r="W108" s="4">
        <f>ABS(V108)-0.001</f>
        <v>79.998999999999995</v>
      </c>
      <c r="X108" s="4">
        <f ca="1">IF(T108=0,0,INDIRECT(ADDRESS(MATCH(W108,Rango!$B$2:$B$101,1)+1,3,1,1,"Rango")))</f>
        <v>5</v>
      </c>
      <c r="Y108" s="4">
        <f ca="1">IF(T108=0,0,INDIRECT(ADDRESS(MATCH(W108,Rango!$B$2:$B$101,1)+2,3,1,1,"Rango")))</f>
        <v>7</v>
      </c>
      <c r="Z108" s="4">
        <f>IF(T108=0,0,VLOOKUP(W108-0.01,Rango!$B$2:$B$101,1))</f>
        <v>60</v>
      </c>
      <c r="AA108" s="4">
        <f ca="1">IF(T108=0,0,INDIRECT(ADDRESS(MATCH(W108,Rango!$B$2:$B$101,1)+2,2,1,1,"Rango")))-Z108</f>
        <v>20</v>
      </c>
      <c r="AB108" s="59">
        <f ca="1">IF(AND(Y108=0,X108&lt;&gt;0),X108,IF(AA108=0,0,X108+((W108-Z108)*(Y108-X108))/AA108))</f>
        <v>6.9998999999999993</v>
      </c>
      <c r="AC108" s="4">
        <f>IF(V108&gt;0,1)+(IF(V108&lt;0,-1))</f>
        <v>1</v>
      </c>
      <c r="AD108" s="63">
        <f ca="1">AB108*AC108</f>
        <v>6.9998999999999993</v>
      </c>
      <c r="AE108" s="59">
        <f ca="1">AD108*U108</f>
        <v>1.0769076923076923</v>
      </c>
      <c r="AF108" s="4" t="s">
        <v>605</v>
      </c>
      <c r="AG108" s="4"/>
      <c r="AH108" s="4"/>
      <c r="AI108" s="4"/>
    </row>
    <row r="109" spans="1:35" x14ac:dyDescent="0.25">
      <c r="A109" s="4"/>
      <c r="B109" s="4"/>
      <c r="C109" s="4" t="s">
        <v>608</v>
      </c>
      <c r="D109" s="4">
        <v>5</v>
      </c>
      <c r="E109" s="4">
        <f>+IF(FormularioFODA!D115="x",1,0)*E$2</f>
        <v>0</v>
      </c>
      <c r="F109" s="4">
        <f>+IF(FormularioFODA!E115="x",1,0)*F$2</f>
        <v>0</v>
      </c>
      <c r="G109" s="4">
        <f>+IF(FormularioFODA!F115="x",1,0)*G$2</f>
        <v>0</v>
      </c>
      <c r="H109" s="4">
        <f>+IF(FormularioFODA!G115="x",1,0)*H$2</f>
        <v>0</v>
      </c>
      <c r="I109" s="4">
        <f>+IF(FormularioFODA!H115="x",1,0)*I$2</f>
        <v>5</v>
      </c>
      <c r="J109" s="4">
        <f>SUM(E109:I109)</f>
        <v>5</v>
      </c>
      <c r="K109" s="4">
        <f>+IF(FormularioFODA!J115="x",1,0)*K$2</f>
        <v>0</v>
      </c>
      <c r="L109" s="4">
        <f>+IF(FormularioFODA!K115="x",1,0)*L$2</f>
        <v>0</v>
      </c>
      <c r="M109" s="4">
        <f>+IF(FormularioFODA!L115="x",1,0)*M$2</f>
        <v>0</v>
      </c>
      <c r="N109" s="4">
        <f>+IF(FormularioFODA!M115="x",1,0)*N$2</f>
        <v>4</v>
      </c>
      <c r="O109" s="4">
        <f>SUM(K109:N109)</f>
        <v>4</v>
      </c>
      <c r="P109" s="34">
        <f>IF($O$110=0,0,O109/$O$110)</f>
        <v>0.30769230769230771</v>
      </c>
      <c r="Q109" s="59">
        <f>+(J109/$I$2)*P109</f>
        <v>0.30769230769230771</v>
      </c>
      <c r="R109" s="4"/>
      <c r="S109" s="4">
        <v>5</v>
      </c>
      <c r="T109" s="4">
        <f>+J109</f>
        <v>5</v>
      </c>
      <c r="U109" s="62">
        <f>+P109</f>
        <v>0.30769230769230771</v>
      </c>
      <c r="V109" s="4">
        <f>IF(ISERROR(T109/S109*100-IF(T109/S109&lt;0,100,0)),0,T109/S109*100-IF(T109/S109&lt;0,100,0))</f>
        <v>100</v>
      </c>
      <c r="W109" s="4">
        <f>ABS(V109)-0.001</f>
        <v>99.998999999999995</v>
      </c>
      <c r="X109" s="4">
        <f ca="1">IF(T109=0,0,INDIRECT(ADDRESS(MATCH(W109,Rango!$B$2:$B$101,1)+1,3,1,1,"Rango")))</f>
        <v>7</v>
      </c>
      <c r="Y109" s="4">
        <f ca="1">IF(T109=0,0,INDIRECT(ADDRESS(MATCH(W109,Rango!$B$2:$B$101,1)+2,3,1,1,"Rango")))</f>
        <v>10</v>
      </c>
      <c r="Z109" s="4">
        <f>IF(T109=0,0,VLOOKUP(W109-0.01,Rango!$B$2:$B$101,1))</f>
        <v>80</v>
      </c>
      <c r="AA109" s="4">
        <f ca="1">IF(T109=0,0,INDIRECT(ADDRESS(MATCH(W109,Rango!$B$2:$B$101,1)+2,2,1,1,"Rango")))-Z109</f>
        <v>20</v>
      </c>
      <c r="AB109" s="59">
        <f ca="1">IF(AND(Y109=0,X109&lt;&gt;0),X109,IF(AA109=0,0,X109+((W109-Z109)*(Y109-X109))/AA109))</f>
        <v>9.9998499999999986</v>
      </c>
      <c r="AC109" s="4">
        <f>IF(V109&gt;0,1)+(IF(V109&lt;0,-1))</f>
        <v>1</v>
      </c>
      <c r="AD109" s="63">
        <f ca="1">AB109*AC109</f>
        <v>9.9998499999999986</v>
      </c>
      <c r="AE109" s="59">
        <f ca="1">AD109*U109</f>
        <v>3.0768769230769228</v>
      </c>
      <c r="AF109" s="4" t="s">
        <v>609</v>
      </c>
      <c r="AG109" s="4"/>
      <c r="AH109" s="4"/>
      <c r="AI109" s="4"/>
    </row>
    <row r="110" spans="1:35" x14ac:dyDescent="0.25">
      <c r="A110" s="4"/>
      <c r="B110" s="12" t="s">
        <v>827</v>
      </c>
      <c r="C110" s="4"/>
      <c r="D110" s="4"/>
      <c r="E110" s="12">
        <f t="shared" ref="E110:Q110" si="120">SUM(E105:E109)</f>
        <v>0</v>
      </c>
      <c r="F110" s="12">
        <f t="shared" si="120"/>
        <v>0</v>
      </c>
      <c r="G110" s="12">
        <f t="shared" si="120"/>
        <v>6</v>
      </c>
      <c r="H110" s="12">
        <f t="shared" si="120"/>
        <v>4</v>
      </c>
      <c r="I110" s="12">
        <f t="shared" si="120"/>
        <v>10</v>
      </c>
      <c r="J110" s="12">
        <f t="shared" si="120"/>
        <v>20</v>
      </c>
      <c r="K110" s="12">
        <f t="shared" si="120"/>
        <v>1</v>
      </c>
      <c r="L110" s="12">
        <f t="shared" si="120"/>
        <v>2</v>
      </c>
      <c r="M110" s="12">
        <f t="shared" si="120"/>
        <v>6</v>
      </c>
      <c r="N110" s="12">
        <f t="shared" si="120"/>
        <v>4</v>
      </c>
      <c r="O110" s="12">
        <f t="shared" si="120"/>
        <v>13</v>
      </c>
      <c r="P110" s="60">
        <f t="shared" si="120"/>
        <v>1</v>
      </c>
      <c r="Q110" s="61">
        <f t="shared" si="120"/>
        <v>0.84615384615384626</v>
      </c>
      <c r="R110" s="4"/>
      <c r="S110" s="4">
        <f>SUM(S105:S109)</f>
        <v>25</v>
      </c>
      <c r="T110" s="4"/>
      <c r="U110" s="62"/>
      <c r="V110" s="4"/>
      <c r="W110" s="4"/>
      <c r="X110" s="4"/>
      <c r="Y110" s="4"/>
      <c r="Z110" s="4"/>
      <c r="AA110" s="4"/>
      <c r="AB110" s="59"/>
      <c r="AC110" s="4"/>
      <c r="AD110" s="63"/>
      <c r="AE110" s="68">
        <f ca="1">SUM(AE105:AE109)</f>
        <v>7.9998730769230768</v>
      </c>
      <c r="AF110" s="4"/>
      <c r="AG110" s="4"/>
      <c r="AH110" s="4"/>
      <c r="AI110" s="4"/>
    </row>
    <row r="111" spans="1:35" x14ac:dyDescent="0.25">
      <c r="A111" s="4"/>
      <c r="B111" s="4"/>
      <c r="C111" s="4"/>
      <c r="D111" s="4"/>
      <c r="E111" s="4"/>
      <c r="F111" s="4"/>
      <c r="G111" s="4"/>
      <c r="H111" s="4"/>
      <c r="I111" s="4"/>
      <c r="J111" s="4"/>
      <c r="K111" s="4"/>
      <c r="L111" s="4"/>
      <c r="M111" s="4"/>
      <c r="N111" s="4"/>
      <c r="O111" s="4"/>
      <c r="P111" s="34"/>
      <c r="Q111" s="59"/>
      <c r="R111" s="4"/>
      <c r="S111" s="4"/>
      <c r="T111" s="4"/>
      <c r="U111" s="62"/>
      <c r="V111" s="4"/>
      <c r="W111" s="4"/>
      <c r="X111" s="4"/>
      <c r="Y111" s="4"/>
      <c r="Z111" s="4"/>
      <c r="AA111" s="4"/>
      <c r="AB111" s="59"/>
      <c r="AC111" s="4"/>
      <c r="AD111" s="63"/>
      <c r="AE111" s="59"/>
      <c r="AF111" s="4"/>
      <c r="AG111" s="4"/>
      <c r="AH111" s="4"/>
      <c r="AI111" s="4"/>
    </row>
    <row r="112" spans="1:35" x14ac:dyDescent="0.25">
      <c r="A112" s="4"/>
      <c r="B112" s="4" t="str">
        <f>+FormularioFODA!B117</f>
        <v>Ámbito Tecnológico y Digital</v>
      </c>
      <c r="C112" s="4" t="s">
        <v>612</v>
      </c>
      <c r="D112" s="4">
        <v>1</v>
      </c>
      <c r="E112" s="4">
        <f>+IF(FormularioFODA!D118="x",1,0)*E$2</f>
        <v>0</v>
      </c>
      <c r="F112" s="4">
        <f>+IF(FormularioFODA!E118="x",1,0)*F$2</f>
        <v>0</v>
      </c>
      <c r="G112" s="4">
        <f>+IF(FormularioFODA!F118="x",1,0)*G$2</f>
        <v>3</v>
      </c>
      <c r="H112" s="4">
        <f>+IF(FormularioFODA!G118="x",1,0)*H$2</f>
        <v>0</v>
      </c>
      <c r="I112" s="4">
        <f>+IF(FormularioFODA!H118="x",1,0)*I$2</f>
        <v>0</v>
      </c>
      <c r="J112" s="4">
        <f>SUM(E112:I112)</f>
        <v>3</v>
      </c>
      <c r="K112" s="4">
        <f>+IF(FormularioFODA!J118="x",1,0)*K$2</f>
        <v>0</v>
      </c>
      <c r="L112" s="4">
        <f>+IF(FormularioFODA!K118="x",1,0)*L$2</f>
        <v>2</v>
      </c>
      <c r="M112" s="4">
        <f>+IF(FormularioFODA!L118="x",1,0)*M$2</f>
        <v>0</v>
      </c>
      <c r="N112" s="4">
        <f>+IF(FormularioFODA!M118="x",1,0)*N$2</f>
        <v>0</v>
      </c>
      <c r="O112" s="4">
        <f>SUM(K112:N112)</f>
        <v>2</v>
      </c>
      <c r="P112" s="34">
        <f>IF($O$116=0,0,O112/$O$116)</f>
        <v>0.18181818181818182</v>
      </c>
      <c r="Q112" s="59">
        <f>+(J112/$I$2)*P112</f>
        <v>0.10909090909090909</v>
      </c>
      <c r="R112" s="4"/>
      <c r="S112" s="4">
        <v>5</v>
      </c>
      <c r="T112" s="4">
        <f>+J112</f>
        <v>3</v>
      </c>
      <c r="U112" s="62">
        <f>+P112</f>
        <v>0.18181818181818182</v>
      </c>
      <c r="V112" s="4">
        <f>IF(ISERROR(T112/S112*100-IF(T112/S112&lt;0,100,0)),0,T112/S112*100-IF(T112/S112&lt;0,100,0))</f>
        <v>60</v>
      </c>
      <c r="W112" s="4">
        <f>ABS(V112)-0.001</f>
        <v>59.999000000000002</v>
      </c>
      <c r="X112" s="4">
        <f ca="1">IF(T112=0,0,INDIRECT(ADDRESS(MATCH(W112,Rango!$B$2:$B$101,1)+1,3,1,1,"Rango")))</f>
        <v>3</v>
      </c>
      <c r="Y112" s="4">
        <f ca="1">IF(T112=0,0,INDIRECT(ADDRESS(MATCH(W112,Rango!$B$2:$B$101,1)+2,3,1,1,"Rango")))</f>
        <v>5</v>
      </c>
      <c r="Z112" s="4">
        <f>IF(T112=0,0,VLOOKUP(W112-0.01,Rango!$B$2:$B$101,1))</f>
        <v>40</v>
      </c>
      <c r="AA112" s="4">
        <f ca="1">IF(T112=0,0,INDIRECT(ADDRESS(MATCH(W112,Rango!$B$2:$B$101,1)+2,2,1,1,"Rango")))-Z112</f>
        <v>20</v>
      </c>
      <c r="AB112" s="59">
        <f ca="1">IF(AND(Y112=0,X112&lt;&gt;0),X112,IF(AA112=0,0,X112+((W112-Z112)*(Y112-X112))/AA112))</f>
        <v>4.9999000000000002</v>
      </c>
      <c r="AC112" s="4">
        <f>IF(V112&gt;0,1)+(IF(V112&lt;0,-1))</f>
        <v>1</v>
      </c>
      <c r="AD112" s="63">
        <f ca="1">AB112*AC112</f>
        <v>4.9999000000000002</v>
      </c>
      <c r="AE112" s="59">
        <f ca="1">AD112*U112</f>
        <v>0.90907272727272737</v>
      </c>
      <c r="AF112" s="4" t="s">
        <v>613</v>
      </c>
      <c r="AG112" s="4"/>
      <c r="AH112" s="4"/>
      <c r="AI112" s="4"/>
    </row>
    <row r="113" spans="1:35" x14ac:dyDescent="0.25">
      <c r="A113" s="4"/>
      <c r="B113" s="4"/>
      <c r="C113" s="4" t="s">
        <v>617</v>
      </c>
      <c r="D113" s="4">
        <v>2</v>
      </c>
      <c r="E113" s="4">
        <f>+IF(FormularioFODA!D119="x",1,0)*E$2</f>
        <v>0</v>
      </c>
      <c r="F113" s="4">
        <f>+IF(FormularioFODA!E119="x",1,0)*F$2</f>
        <v>2</v>
      </c>
      <c r="G113" s="4">
        <f>+IF(FormularioFODA!F119="x",1,0)*G$2</f>
        <v>0</v>
      </c>
      <c r="H113" s="4">
        <f>+IF(FormularioFODA!G119="x",1,0)*H$2</f>
        <v>0</v>
      </c>
      <c r="I113" s="4">
        <f>+IF(FormularioFODA!H119="x",1,0)*I$2</f>
        <v>0</v>
      </c>
      <c r="J113" s="4">
        <f>SUM(E113:I113)</f>
        <v>2</v>
      </c>
      <c r="K113" s="4">
        <f>+IF(FormularioFODA!J119="x",1,0)*K$2</f>
        <v>0</v>
      </c>
      <c r="L113" s="4">
        <f>+IF(FormularioFODA!K119="x",1,0)*L$2</f>
        <v>0</v>
      </c>
      <c r="M113" s="4">
        <f>+IF(FormularioFODA!L119="x",1,0)*M$2</f>
        <v>3</v>
      </c>
      <c r="N113" s="4">
        <f>+IF(FormularioFODA!M119="x",1,0)*N$2</f>
        <v>0</v>
      </c>
      <c r="O113" s="4">
        <f>SUM(K113:N113)</f>
        <v>3</v>
      </c>
      <c r="P113" s="34">
        <f>IF($O$116=0,0,O113/$O$116)</f>
        <v>0.27272727272727271</v>
      </c>
      <c r="Q113" s="59">
        <f>+(J113/$I$2)*P113</f>
        <v>0.10909090909090909</v>
      </c>
      <c r="R113" s="4"/>
      <c r="S113" s="4">
        <v>5</v>
      </c>
      <c r="T113" s="4">
        <f>+J113</f>
        <v>2</v>
      </c>
      <c r="U113" s="62">
        <f>+P113</f>
        <v>0.27272727272727271</v>
      </c>
      <c r="V113" s="4">
        <f>IF(ISERROR(T113/S113*100-IF(T113/S113&lt;0,100,0)),0,T113/S113*100-IF(T113/S113&lt;0,100,0))</f>
        <v>40</v>
      </c>
      <c r="W113" s="4">
        <f>ABS(V113)-0.001</f>
        <v>39.999000000000002</v>
      </c>
      <c r="X113" s="4">
        <f ca="1">IF(T113=0,0,INDIRECT(ADDRESS(MATCH(W113,Rango!$B$2:$B$101,1)+1,3,1,1,"Rango")))</f>
        <v>1</v>
      </c>
      <c r="Y113" s="4">
        <f ca="1">IF(T113=0,0,INDIRECT(ADDRESS(MATCH(W113,Rango!$B$2:$B$101,1)+2,3,1,1,"Rango")))</f>
        <v>3</v>
      </c>
      <c r="Z113" s="4">
        <f>IF(T113=0,0,VLOOKUP(W113-0.01,Rango!$B$2:$B$101,1))</f>
        <v>20</v>
      </c>
      <c r="AA113" s="4">
        <f ca="1">IF(T113=0,0,INDIRECT(ADDRESS(MATCH(W113,Rango!$B$2:$B$101,1)+2,2,1,1,"Rango")))-Z113</f>
        <v>20</v>
      </c>
      <c r="AB113" s="59">
        <f ca="1">IF(AND(Y113=0,X113&lt;&gt;0),X113,IF(AA113=0,0,X113+((W113-Z113)*(Y113-X113))/AA113))</f>
        <v>2.9999000000000002</v>
      </c>
      <c r="AC113" s="4">
        <f>IF(V113&gt;0,1)+(IF(V113&lt;0,-1))</f>
        <v>1</v>
      </c>
      <c r="AD113" s="63">
        <f ca="1">AB113*AC113</f>
        <v>2.9999000000000002</v>
      </c>
      <c r="AE113" s="59">
        <f ca="1">AD113*U113</f>
        <v>0.81815454545454547</v>
      </c>
      <c r="AF113" s="4" t="s">
        <v>618</v>
      </c>
      <c r="AG113" s="4"/>
      <c r="AH113" s="4"/>
      <c r="AI113" s="4"/>
    </row>
    <row r="114" spans="1:35" x14ac:dyDescent="0.25">
      <c r="A114" s="4"/>
      <c r="B114" s="4"/>
      <c r="C114" s="4" t="s">
        <v>621</v>
      </c>
      <c r="D114" s="4">
        <v>3</v>
      </c>
      <c r="E114" s="4">
        <f>+IF(FormularioFODA!D120="x",1,0)*E$2</f>
        <v>0</v>
      </c>
      <c r="F114" s="4">
        <f>+IF(FormularioFODA!E120="x",1,0)*F$2</f>
        <v>0</v>
      </c>
      <c r="G114" s="4">
        <f>+IF(FormularioFODA!F120="x",1,0)*G$2</f>
        <v>3</v>
      </c>
      <c r="H114" s="4">
        <f>+IF(FormularioFODA!G120="x",1,0)*H$2</f>
        <v>0</v>
      </c>
      <c r="I114" s="4">
        <f>+IF(FormularioFODA!H120="x",1,0)*I$2</f>
        <v>0</v>
      </c>
      <c r="J114" s="4">
        <f>SUM(E114:I114)</f>
        <v>3</v>
      </c>
      <c r="K114" s="4">
        <f>+IF(FormularioFODA!J120="x",1,0)*K$2</f>
        <v>0</v>
      </c>
      <c r="L114" s="4">
        <f>+IF(FormularioFODA!K120="x",1,0)*L$2</f>
        <v>0</v>
      </c>
      <c r="M114" s="4">
        <f>+IF(FormularioFODA!L120="x",1,0)*M$2</f>
        <v>3</v>
      </c>
      <c r="N114" s="4">
        <f>+IF(FormularioFODA!M120="x",1,0)*N$2</f>
        <v>0</v>
      </c>
      <c r="O114" s="4">
        <f>SUM(K114:N114)</f>
        <v>3</v>
      </c>
      <c r="P114" s="34">
        <f>IF($O$116=0,0,O114/$O$116)</f>
        <v>0.27272727272727271</v>
      </c>
      <c r="Q114" s="59">
        <f>+(J114/$I$2)*P114</f>
        <v>0.16363636363636361</v>
      </c>
      <c r="R114" s="4"/>
      <c r="S114" s="4">
        <v>5</v>
      </c>
      <c r="T114" s="4">
        <f>+J114</f>
        <v>3</v>
      </c>
      <c r="U114" s="62">
        <f>+P114</f>
        <v>0.27272727272727271</v>
      </c>
      <c r="V114" s="4">
        <f>IF(ISERROR(T114/S114*100-IF(T114/S114&lt;0,100,0)),0,T114/S114*100-IF(T114/S114&lt;0,100,0))</f>
        <v>60</v>
      </c>
      <c r="W114" s="4">
        <f>ABS(V114)-0.001</f>
        <v>59.999000000000002</v>
      </c>
      <c r="X114" s="4">
        <f ca="1">IF(T114=0,0,INDIRECT(ADDRESS(MATCH(W114,Rango!$B$2:$B$101,1)+1,3,1,1,"Rango")))</f>
        <v>3</v>
      </c>
      <c r="Y114" s="4">
        <f ca="1">IF(T114=0,0,INDIRECT(ADDRESS(MATCH(W114,Rango!$B$2:$B$101,1)+2,3,1,1,"Rango")))</f>
        <v>5</v>
      </c>
      <c r="Z114" s="4">
        <f>IF(T114=0,0,VLOOKUP(W114-0.01,Rango!$B$2:$B$101,1))</f>
        <v>40</v>
      </c>
      <c r="AA114" s="4">
        <f ca="1">IF(T114=0,0,INDIRECT(ADDRESS(MATCH(W114,Rango!$B$2:$B$101,1)+2,2,1,1,"Rango")))-Z114</f>
        <v>20</v>
      </c>
      <c r="AB114" s="59">
        <f ca="1">IF(AND(Y114=0,X114&lt;&gt;0),X114,IF(AA114=0,0,X114+((W114-Z114)*(Y114-X114))/AA114))</f>
        <v>4.9999000000000002</v>
      </c>
      <c r="AC114" s="4">
        <f>IF(V114&gt;0,1)+(IF(V114&lt;0,-1))</f>
        <v>1</v>
      </c>
      <c r="AD114" s="63">
        <f ca="1">AB114*AC114</f>
        <v>4.9999000000000002</v>
      </c>
      <c r="AE114" s="59">
        <f ca="1">AD114*U114</f>
        <v>1.3636090909090908</v>
      </c>
      <c r="AF114" s="4" t="s">
        <v>622</v>
      </c>
      <c r="AG114" s="4"/>
      <c r="AH114" s="4"/>
      <c r="AI114" s="4"/>
    </row>
    <row r="115" spans="1:35" x14ac:dyDescent="0.25">
      <c r="A115" s="4"/>
      <c r="B115" s="4"/>
      <c r="C115" s="4" t="s">
        <v>625</v>
      </c>
      <c r="D115" s="4">
        <v>4</v>
      </c>
      <c r="E115" s="4">
        <f>+IF(FormularioFODA!D121="x",1,0)*E$2</f>
        <v>0</v>
      </c>
      <c r="F115" s="4">
        <f>+IF(FormularioFODA!E121="x",1,0)*F$2</f>
        <v>0</v>
      </c>
      <c r="G115" s="4">
        <f>+IF(FormularioFODA!F121="x",1,0)*G$2</f>
        <v>3</v>
      </c>
      <c r="H115" s="4">
        <f>+IF(FormularioFODA!G121="x",1,0)*H$2</f>
        <v>0</v>
      </c>
      <c r="I115" s="4">
        <f>+IF(FormularioFODA!H121="x",1,0)*I$2</f>
        <v>0</v>
      </c>
      <c r="J115" s="4">
        <f>SUM(E115:I115)</f>
        <v>3</v>
      </c>
      <c r="K115" s="4">
        <f>+IF(FormularioFODA!J121="x",1,0)*K$2</f>
        <v>0</v>
      </c>
      <c r="L115" s="4">
        <f>+IF(FormularioFODA!K121="x",1,0)*L$2</f>
        <v>0</v>
      </c>
      <c r="M115" s="4">
        <f>+IF(FormularioFODA!L121="x",1,0)*M$2</f>
        <v>3</v>
      </c>
      <c r="N115" s="4">
        <f>+IF(FormularioFODA!M121="x",1,0)*N$2</f>
        <v>0</v>
      </c>
      <c r="O115" s="4">
        <f>SUM(K115:N115)</f>
        <v>3</v>
      </c>
      <c r="P115" s="34">
        <f>IF($O$116=0,0,O115/$O$116)</f>
        <v>0.27272727272727271</v>
      </c>
      <c r="Q115" s="59">
        <f>+(J115/$I$2)*P115</f>
        <v>0.16363636363636361</v>
      </c>
      <c r="R115" s="4"/>
      <c r="S115" s="4">
        <v>5</v>
      </c>
      <c r="T115" s="4">
        <f>+J115</f>
        <v>3</v>
      </c>
      <c r="U115" s="62">
        <f>+P115</f>
        <v>0.27272727272727271</v>
      </c>
      <c r="V115" s="4">
        <f>IF(ISERROR(T115/S115*100-IF(T115/S115&lt;0,100,0)),0,T115/S115*100-IF(T115/S115&lt;0,100,0))</f>
        <v>60</v>
      </c>
      <c r="W115" s="4">
        <f>ABS(V115)-0.001</f>
        <v>59.999000000000002</v>
      </c>
      <c r="X115" s="4">
        <f ca="1">IF(T115=0,0,INDIRECT(ADDRESS(MATCH(W115,Rango!$B$2:$B$101,1)+1,3,1,1,"Rango")))</f>
        <v>3</v>
      </c>
      <c r="Y115" s="4">
        <f ca="1">IF(T115=0,0,INDIRECT(ADDRESS(MATCH(W115,Rango!$B$2:$B$101,1)+2,3,1,1,"Rango")))</f>
        <v>5</v>
      </c>
      <c r="Z115" s="4">
        <f>IF(T115=0,0,VLOOKUP(W115-0.01,Rango!$B$2:$B$101,1))</f>
        <v>40</v>
      </c>
      <c r="AA115" s="4">
        <f ca="1">IF(T115=0,0,INDIRECT(ADDRESS(MATCH(W115,Rango!$B$2:$B$101,1)+2,2,1,1,"Rango")))-Z115</f>
        <v>20</v>
      </c>
      <c r="AB115" s="59">
        <f ca="1">IF(AND(Y115=0,X115&lt;&gt;0),X115,IF(AA115=0,0,X115+((W115-Z115)*(Y115-X115))/AA115))</f>
        <v>4.9999000000000002</v>
      </c>
      <c r="AC115" s="4">
        <f>IF(V115&gt;0,1)+(IF(V115&lt;0,-1))</f>
        <v>1</v>
      </c>
      <c r="AD115" s="63">
        <f ca="1">AB115*AC115</f>
        <v>4.9999000000000002</v>
      </c>
      <c r="AE115" s="59">
        <f ca="1">AD115*U115</f>
        <v>1.3636090909090908</v>
      </c>
      <c r="AF115" s="4" t="s">
        <v>626</v>
      </c>
      <c r="AG115" s="4"/>
      <c r="AH115" s="4"/>
      <c r="AI115" s="4"/>
    </row>
    <row r="116" spans="1:35" x14ac:dyDescent="0.25">
      <c r="A116" s="4"/>
      <c r="B116" s="12" t="s">
        <v>828</v>
      </c>
      <c r="C116" s="4"/>
      <c r="D116" s="4"/>
      <c r="E116" s="12">
        <f t="shared" ref="E116:Q116" si="121">SUM(E112:E115)</f>
        <v>0</v>
      </c>
      <c r="F116" s="12">
        <f t="shared" si="121"/>
        <v>2</v>
      </c>
      <c r="G116" s="12">
        <f t="shared" si="121"/>
        <v>9</v>
      </c>
      <c r="H116" s="12">
        <f t="shared" si="121"/>
        <v>0</v>
      </c>
      <c r="I116" s="12">
        <f t="shared" si="121"/>
        <v>0</v>
      </c>
      <c r="J116" s="12">
        <f t="shared" si="121"/>
        <v>11</v>
      </c>
      <c r="K116" s="12">
        <f t="shared" si="121"/>
        <v>0</v>
      </c>
      <c r="L116" s="12">
        <f t="shared" si="121"/>
        <v>2</v>
      </c>
      <c r="M116" s="12">
        <f t="shared" si="121"/>
        <v>9</v>
      </c>
      <c r="N116" s="12">
        <f t="shared" si="121"/>
        <v>0</v>
      </c>
      <c r="O116" s="12">
        <f t="shared" si="121"/>
        <v>11</v>
      </c>
      <c r="P116" s="60">
        <f t="shared" si="121"/>
        <v>1</v>
      </c>
      <c r="Q116" s="61">
        <f t="shared" si="121"/>
        <v>0.54545454545454541</v>
      </c>
      <c r="R116" s="4"/>
      <c r="S116" s="4">
        <f>SUM(S112:S115)</f>
        <v>20</v>
      </c>
      <c r="T116" s="4"/>
      <c r="U116" s="62"/>
      <c r="V116" s="4"/>
      <c r="W116" s="4"/>
      <c r="X116" s="4"/>
      <c r="Y116" s="4"/>
      <c r="Z116" s="4"/>
      <c r="AA116" s="4"/>
      <c r="AB116" s="59"/>
      <c r="AC116" s="4"/>
      <c r="AD116" s="63"/>
      <c r="AE116" s="68">
        <f ca="1">SUM(AE112:AE115)</f>
        <v>4.4544454545454544</v>
      </c>
      <c r="AF116" s="4"/>
      <c r="AG116" s="4"/>
      <c r="AH116" s="4"/>
      <c r="AI116" s="4"/>
    </row>
    <row r="117" spans="1:35" x14ac:dyDescent="0.25">
      <c r="A117" s="4"/>
      <c r="B117" s="4"/>
      <c r="C117" s="4"/>
      <c r="D117" s="4"/>
      <c r="E117" s="4"/>
      <c r="F117" s="4"/>
      <c r="G117" s="4"/>
      <c r="H117" s="4"/>
      <c r="I117" s="4"/>
      <c r="J117" s="4"/>
      <c r="K117" s="4"/>
      <c r="L117" s="4"/>
      <c r="M117" s="4"/>
      <c r="N117" s="4"/>
      <c r="O117" s="4"/>
      <c r="P117" s="34"/>
      <c r="Q117" s="59"/>
      <c r="R117" s="4"/>
      <c r="S117" s="4"/>
      <c r="T117" s="4"/>
      <c r="U117" s="62"/>
      <c r="V117" s="4"/>
      <c r="W117" s="4"/>
      <c r="X117" s="4"/>
      <c r="Y117" s="4"/>
      <c r="Z117" s="4"/>
      <c r="AA117" s="4"/>
      <c r="AB117" s="59"/>
      <c r="AC117" s="4"/>
      <c r="AD117" s="63"/>
      <c r="AE117" s="59"/>
      <c r="AF117" s="4"/>
      <c r="AG117" s="4"/>
      <c r="AH117" s="4"/>
      <c r="AI117" s="4"/>
    </row>
    <row r="118" spans="1:35" x14ac:dyDescent="0.25">
      <c r="A118" s="4"/>
      <c r="B118" s="4" t="str">
        <f>+FormularioFODA!B123</f>
        <v>Logística e Infraestructura Regional</v>
      </c>
      <c r="C118" s="4" t="s">
        <v>629</v>
      </c>
      <c r="D118" s="4">
        <v>1</v>
      </c>
      <c r="E118" s="4">
        <f>+IF(FormularioFODA!D124="x",1,0)*E$2</f>
        <v>0</v>
      </c>
      <c r="F118" s="4">
        <f>+IF(FormularioFODA!E124="x",1,0)*F$2</f>
        <v>0</v>
      </c>
      <c r="G118" s="4">
        <f>+IF(FormularioFODA!F124="x",1,0)*G$2</f>
        <v>3</v>
      </c>
      <c r="H118" s="4">
        <f>+IF(FormularioFODA!G124="x",1,0)*H$2</f>
        <v>0</v>
      </c>
      <c r="I118" s="4">
        <f>+IF(FormularioFODA!H124="x",1,0)*I$2</f>
        <v>0</v>
      </c>
      <c r="J118" s="4">
        <f t="shared" ref="J118:J124" si="122">SUM(E118:I118)</f>
        <v>3</v>
      </c>
      <c r="K118" s="4">
        <f>+IF(FormularioFODA!J124="x",1,0)*K$2</f>
        <v>0</v>
      </c>
      <c r="L118" s="4">
        <f>+IF(FormularioFODA!K124="x",1,0)*L$2</f>
        <v>2</v>
      </c>
      <c r="M118" s="4">
        <f>+IF(FormularioFODA!L124="x",1,0)*M$2</f>
        <v>0</v>
      </c>
      <c r="N118" s="4">
        <f>+IF(FormularioFODA!M124="x",1,0)*N$2</f>
        <v>0</v>
      </c>
      <c r="O118" s="4">
        <f t="shared" ref="O118:O124" si="123">SUM(K118:N118)</f>
        <v>2</v>
      </c>
      <c r="P118" s="34">
        <f t="shared" ref="P118:P124" si="124">IF($O$125=0,0,O118/$O$125)</f>
        <v>9.0909090909090912E-2</v>
      </c>
      <c r="Q118" s="59">
        <f t="shared" ref="Q118:Q124" si="125">+(J118/$I$2)*P118</f>
        <v>5.4545454545454543E-2</v>
      </c>
      <c r="R118" s="4"/>
      <c r="S118" s="4">
        <v>5</v>
      </c>
      <c r="T118" s="4">
        <f t="shared" ref="T118:T124" si="126">+J118</f>
        <v>3</v>
      </c>
      <c r="U118" s="62">
        <f t="shared" ref="U118:U124" si="127">+P118</f>
        <v>9.0909090909090912E-2</v>
      </c>
      <c r="V118" s="4">
        <f t="shared" ref="V118:V124" si="128">IF(ISERROR(T118/S118*100-IF(T118/S118&lt;0,100,0)),0,T118/S118*100-IF(T118/S118&lt;0,100,0))</f>
        <v>60</v>
      </c>
      <c r="W118" s="4">
        <f t="shared" ref="W118:W124" si="129">ABS(V118)-0.001</f>
        <v>59.999000000000002</v>
      </c>
      <c r="X118" s="4">
        <f ca="1">IF(T118=0,0,INDIRECT(ADDRESS(MATCH(W118,Rango!$B$2:$B$101,1)+1,3,1,1,"Rango")))</f>
        <v>3</v>
      </c>
      <c r="Y118" s="4">
        <f ca="1">IF(T118=0,0,INDIRECT(ADDRESS(MATCH(W118,Rango!$B$2:$B$101,1)+2,3,1,1,"Rango")))</f>
        <v>5</v>
      </c>
      <c r="Z118" s="4">
        <f>IF(T118=0,0,VLOOKUP(W118-0.01,Rango!$B$2:$B$101,1))</f>
        <v>40</v>
      </c>
      <c r="AA118" s="4">
        <f ca="1">IF(T118=0,0,INDIRECT(ADDRESS(MATCH(W118,Rango!$B$2:$B$101,1)+2,2,1,1,"Rango")))-Z118</f>
        <v>20</v>
      </c>
      <c r="AB118" s="59">
        <f t="shared" ref="AB118:AB124" ca="1" si="130">IF(AND(Y118=0,X118&lt;&gt;0),X118,IF(AA118=0,0,X118+((W118-Z118)*(Y118-X118))/AA118))</f>
        <v>4.9999000000000002</v>
      </c>
      <c r="AC118" s="4">
        <f t="shared" ref="AC118:AC124" si="131">IF(V118&gt;0,1)+(IF(V118&lt;0,-1))</f>
        <v>1</v>
      </c>
      <c r="AD118" s="63">
        <f t="shared" ref="AD118:AD124" ca="1" si="132">AB118*AC118</f>
        <v>4.9999000000000002</v>
      </c>
      <c r="AE118" s="59">
        <f t="shared" ref="AE118:AE124" ca="1" si="133">AD118*U118</f>
        <v>0.45453636363636368</v>
      </c>
      <c r="AF118" s="4" t="s">
        <v>630</v>
      </c>
      <c r="AG118" s="4"/>
      <c r="AH118" s="4"/>
      <c r="AI118" s="4"/>
    </row>
    <row r="119" spans="1:35" x14ac:dyDescent="0.25">
      <c r="A119" s="4"/>
      <c r="B119" s="4"/>
      <c r="C119" s="4" t="s">
        <v>634</v>
      </c>
      <c r="D119" s="4">
        <v>2</v>
      </c>
      <c r="E119" s="4">
        <f>+IF(FormularioFODA!D125="x",1,0)*E$2</f>
        <v>0</v>
      </c>
      <c r="F119" s="4">
        <f>+IF(FormularioFODA!E125="x",1,0)*F$2</f>
        <v>0</v>
      </c>
      <c r="G119" s="4">
        <f>+IF(FormularioFODA!F125="x",1,0)*G$2</f>
        <v>3</v>
      </c>
      <c r="H119" s="4">
        <f>+IF(FormularioFODA!G125="x",1,0)*H$2</f>
        <v>0</v>
      </c>
      <c r="I119" s="4">
        <f>+IF(FormularioFODA!H125="x",1,0)*I$2</f>
        <v>0</v>
      </c>
      <c r="J119" s="4">
        <f t="shared" si="122"/>
        <v>3</v>
      </c>
      <c r="K119" s="4">
        <f>+IF(FormularioFODA!J125="x",1,0)*K$2</f>
        <v>0</v>
      </c>
      <c r="L119" s="4">
        <f>+IF(FormularioFODA!K125="x",1,0)*L$2</f>
        <v>0</v>
      </c>
      <c r="M119" s="4">
        <f>+IF(FormularioFODA!L125="x",1,0)*M$2</f>
        <v>3</v>
      </c>
      <c r="N119" s="4">
        <f>+IF(FormularioFODA!M125="x",1,0)*N$2</f>
        <v>0</v>
      </c>
      <c r="O119" s="4">
        <f t="shared" si="123"/>
        <v>3</v>
      </c>
      <c r="P119" s="34">
        <f t="shared" si="124"/>
        <v>0.13636363636363635</v>
      </c>
      <c r="Q119" s="59">
        <f t="shared" si="125"/>
        <v>8.1818181818181804E-2</v>
      </c>
      <c r="R119" s="4"/>
      <c r="S119" s="4">
        <v>5</v>
      </c>
      <c r="T119" s="4">
        <f t="shared" si="126"/>
        <v>3</v>
      </c>
      <c r="U119" s="62">
        <f t="shared" si="127"/>
        <v>0.13636363636363635</v>
      </c>
      <c r="V119" s="4">
        <f t="shared" si="128"/>
        <v>60</v>
      </c>
      <c r="W119" s="4">
        <f t="shared" si="129"/>
        <v>59.999000000000002</v>
      </c>
      <c r="X119" s="4">
        <f ca="1">IF(T119=0,0,INDIRECT(ADDRESS(MATCH(W119,Rango!$B$2:$B$101,1)+1,3,1,1,"Rango")))</f>
        <v>3</v>
      </c>
      <c r="Y119" s="4">
        <f ca="1">IF(T119=0,0,INDIRECT(ADDRESS(MATCH(W119,Rango!$B$2:$B$101,1)+2,3,1,1,"Rango")))</f>
        <v>5</v>
      </c>
      <c r="Z119" s="4">
        <f>IF(T119=0,0,VLOOKUP(W119-0.01,Rango!$B$2:$B$101,1))</f>
        <v>40</v>
      </c>
      <c r="AA119" s="4">
        <f ca="1">IF(T119=0,0,INDIRECT(ADDRESS(MATCH(W119,Rango!$B$2:$B$101,1)+2,2,1,1,"Rango")))-Z119</f>
        <v>20</v>
      </c>
      <c r="AB119" s="59">
        <f t="shared" ca="1" si="130"/>
        <v>4.9999000000000002</v>
      </c>
      <c r="AC119" s="4">
        <f t="shared" si="131"/>
        <v>1</v>
      </c>
      <c r="AD119" s="63">
        <f t="shared" ca="1" si="132"/>
        <v>4.9999000000000002</v>
      </c>
      <c r="AE119" s="59">
        <f t="shared" ca="1" si="133"/>
        <v>0.68180454545454539</v>
      </c>
      <c r="AF119" s="4" t="s">
        <v>635</v>
      </c>
      <c r="AG119" s="4"/>
      <c r="AH119" s="4"/>
      <c r="AI119" s="4"/>
    </row>
    <row r="120" spans="1:35" x14ac:dyDescent="0.25">
      <c r="A120" s="4"/>
      <c r="B120" s="4"/>
      <c r="C120" s="4" t="s">
        <v>638</v>
      </c>
      <c r="D120" s="4">
        <v>3</v>
      </c>
      <c r="E120" s="4">
        <f>+IF(FormularioFODA!D126="x",1,0)*E$2</f>
        <v>0</v>
      </c>
      <c r="F120" s="4">
        <f>+IF(FormularioFODA!E126="x",1,0)*F$2</f>
        <v>0</v>
      </c>
      <c r="G120" s="4">
        <f>+IF(FormularioFODA!F126="x",1,0)*G$2</f>
        <v>3</v>
      </c>
      <c r="H120" s="4">
        <f>+IF(FormularioFODA!G126="x",1,0)*H$2</f>
        <v>0</v>
      </c>
      <c r="I120" s="4">
        <f>+IF(FormularioFODA!H126="x",1,0)*I$2</f>
        <v>0</v>
      </c>
      <c r="J120" s="4">
        <f t="shared" si="122"/>
        <v>3</v>
      </c>
      <c r="K120" s="4">
        <f>+IF(FormularioFODA!J126="x",1,0)*K$2</f>
        <v>0</v>
      </c>
      <c r="L120" s="4">
        <f>+IF(FormularioFODA!K126="x",1,0)*L$2</f>
        <v>0</v>
      </c>
      <c r="M120" s="4">
        <f>+IF(FormularioFODA!L126="x",1,0)*M$2</f>
        <v>0</v>
      </c>
      <c r="N120" s="4">
        <f>+IF(FormularioFODA!M126="x",1,0)*N$2</f>
        <v>4</v>
      </c>
      <c r="O120" s="4">
        <f t="shared" si="123"/>
        <v>4</v>
      </c>
      <c r="P120" s="34">
        <f t="shared" si="124"/>
        <v>0.18181818181818182</v>
      </c>
      <c r="Q120" s="59">
        <f t="shared" si="125"/>
        <v>0.10909090909090909</v>
      </c>
      <c r="R120" s="4"/>
      <c r="S120" s="4">
        <v>5</v>
      </c>
      <c r="T120" s="4">
        <f t="shared" si="126"/>
        <v>3</v>
      </c>
      <c r="U120" s="62">
        <f t="shared" si="127"/>
        <v>0.18181818181818182</v>
      </c>
      <c r="V120" s="4">
        <f t="shared" si="128"/>
        <v>60</v>
      </c>
      <c r="W120" s="4">
        <f t="shared" si="129"/>
        <v>59.999000000000002</v>
      </c>
      <c r="X120" s="4">
        <f ca="1">IF(T120=0,0,INDIRECT(ADDRESS(MATCH(W120,Rango!$B$2:$B$101,1)+1,3,1,1,"Rango")))</f>
        <v>3</v>
      </c>
      <c r="Y120" s="4">
        <f ca="1">IF(T120=0,0,INDIRECT(ADDRESS(MATCH(W120,Rango!$B$2:$B$101,1)+2,3,1,1,"Rango")))</f>
        <v>5</v>
      </c>
      <c r="Z120" s="4">
        <f>IF(T120=0,0,VLOOKUP(W120-0.01,Rango!$B$2:$B$101,1))</f>
        <v>40</v>
      </c>
      <c r="AA120" s="4">
        <f ca="1">IF(T120=0,0,INDIRECT(ADDRESS(MATCH(W120,Rango!$B$2:$B$101,1)+2,2,1,1,"Rango")))-Z120</f>
        <v>20</v>
      </c>
      <c r="AB120" s="59">
        <f t="shared" ca="1" si="130"/>
        <v>4.9999000000000002</v>
      </c>
      <c r="AC120" s="4">
        <f t="shared" si="131"/>
        <v>1</v>
      </c>
      <c r="AD120" s="63">
        <f t="shared" ca="1" si="132"/>
        <v>4.9999000000000002</v>
      </c>
      <c r="AE120" s="59">
        <f t="shared" ca="1" si="133"/>
        <v>0.90907272727272737</v>
      </c>
      <c r="AF120" s="4" t="s">
        <v>639</v>
      </c>
      <c r="AG120" s="4"/>
      <c r="AH120" s="4"/>
      <c r="AI120" s="4"/>
    </row>
    <row r="121" spans="1:35" x14ac:dyDescent="0.25">
      <c r="A121" s="4"/>
      <c r="B121" s="4"/>
      <c r="C121" s="4" t="s">
        <v>642</v>
      </c>
      <c r="D121" s="4">
        <v>4</v>
      </c>
      <c r="E121" s="4">
        <f>+IF(FormularioFODA!D127="x",1,0)*E$2</f>
        <v>1</v>
      </c>
      <c r="F121" s="4">
        <f>+IF(FormularioFODA!E127="x",1,0)*F$2</f>
        <v>0</v>
      </c>
      <c r="G121" s="4">
        <f>+IF(FormularioFODA!F127="x",1,0)*G$2</f>
        <v>0</v>
      </c>
      <c r="H121" s="4">
        <f>+IF(FormularioFODA!G127="x",1,0)*H$2</f>
        <v>0</v>
      </c>
      <c r="I121" s="4">
        <f>+IF(FormularioFODA!H127="x",1,0)*I$2</f>
        <v>0</v>
      </c>
      <c r="J121" s="4">
        <f t="shared" si="122"/>
        <v>1</v>
      </c>
      <c r="K121" s="4">
        <f>+IF(FormularioFODA!J127="x",1,0)*K$2</f>
        <v>0</v>
      </c>
      <c r="L121" s="4">
        <f>+IF(FormularioFODA!K127="x",1,0)*L$2</f>
        <v>2</v>
      </c>
      <c r="M121" s="4">
        <f>+IF(FormularioFODA!L127="x",1,0)*M$2</f>
        <v>0</v>
      </c>
      <c r="N121" s="4">
        <f>+IF(FormularioFODA!M127="x",1,0)*N$2</f>
        <v>0</v>
      </c>
      <c r="O121" s="4">
        <f t="shared" si="123"/>
        <v>2</v>
      </c>
      <c r="P121" s="34">
        <f t="shared" si="124"/>
        <v>9.0909090909090912E-2</v>
      </c>
      <c r="Q121" s="59">
        <f t="shared" si="125"/>
        <v>1.8181818181818184E-2</v>
      </c>
      <c r="R121" s="4"/>
      <c r="S121" s="4">
        <v>5</v>
      </c>
      <c r="T121" s="4">
        <f t="shared" si="126"/>
        <v>1</v>
      </c>
      <c r="U121" s="62">
        <f t="shared" si="127"/>
        <v>9.0909090909090912E-2</v>
      </c>
      <c r="V121" s="4">
        <f t="shared" si="128"/>
        <v>20</v>
      </c>
      <c r="W121" s="4">
        <f t="shared" si="129"/>
        <v>19.998999999999999</v>
      </c>
      <c r="X121" s="4">
        <f ca="1">IF(T121=0,0,INDIRECT(ADDRESS(MATCH(W121,Rango!$B$2:$B$101,1)+1,3,1,1,"Rango")))</f>
        <v>0</v>
      </c>
      <c r="Y121" s="4">
        <f ca="1">IF(T121=0,0,INDIRECT(ADDRESS(MATCH(W121,Rango!$B$2:$B$101,1)+2,3,1,1,"Rango")))</f>
        <v>1</v>
      </c>
      <c r="Z121" s="4">
        <f>IF(T121=0,0,VLOOKUP(W121-0.01,Rango!$B$2:$B$101,1))</f>
        <v>0</v>
      </c>
      <c r="AA121" s="4">
        <f ca="1">IF(T121=0,0,INDIRECT(ADDRESS(MATCH(W121,Rango!$B$2:$B$101,1)+2,2,1,1,"Rango")))-Z121</f>
        <v>20</v>
      </c>
      <c r="AB121" s="59">
        <f t="shared" ca="1" si="130"/>
        <v>0.99994999999999989</v>
      </c>
      <c r="AC121" s="4">
        <f t="shared" si="131"/>
        <v>1</v>
      </c>
      <c r="AD121" s="63">
        <f t="shared" ca="1" si="132"/>
        <v>0.99994999999999989</v>
      </c>
      <c r="AE121" s="59">
        <f t="shared" ca="1" si="133"/>
        <v>9.0904545454545446E-2</v>
      </c>
      <c r="AF121" s="4" t="s">
        <v>643</v>
      </c>
      <c r="AG121" s="4"/>
      <c r="AH121" s="4"/>
      <c r="AI121" s="4"/>
    </row>
    <row r="122" spans="1:35" x14ac:dyDescent="0.25">
      <c r="A122" s="4"/>
      <c r="B122" s="4"/>
      <c r="C122" s="4" t="s">
        <v>646</v>
      </c>
      <c r="D122" s="4">
        <v>5</v>
      </c>
      <c r="E122" s="4">
        <f>+IF(FormularioFODA!D128="x",1,0)*E$2</f>
        <v>0</v>
      </c>
      <c r="F122" s="4">
        <f>+IF(FormularioFODA!E128="x",1,0)*F$2</f>
        <v>0</v>
      </c>
      <c r="G122" s="4">
        <f>+IF(FormularioFODA!F128="x",1,0)*G$2</f>
        <v>3</v>
      </c>
      <c r="H122" s="4">
        <f>+IF(FormularioFODA!G128="x",1,0)*H$2</f>
        <v>0</v>
      </c>
      <c r="I122" s="4">
        <f>+IF(FormularioFODA!H128="x",1,0)*I$2</f>
        <v>0</v>
      </c>
      <c r="J122" s="4">
        <f t="shared" si="122"/>
        <v>3</v>
      </c>
      <c r="K122" s="4">
        <f>+IF(FormularioFODA!J128="x",1,0)*K$2</f>
        <v>0</v>
      </c>
      <c r="L122" s="4">
        <f>+IF(FormularioFODA!K128="x",1,0)*L$2</f>
        <v>0</v>
      </c>
      <c r="M122" s="4">
        <f>+IF(FormularioFODA!L128="x",1,0)*M$2</f>
        <v>0</v>
      </c>
      <c r="N122" s="4">
        <f>+IF(FormularioFODA!M128="x",1,0)*N$2</f>
        <v>4</v>
      </c>
      <c r="O122" s="4">
        <f t="shared" si="123"/>
        <v>4</v>
      </c>
      <c r="P122" s="34">
        <f t="shared" si="124"/>
        <v>0.18181818181818182</v>
      </c>
      <c r="Q122" s="59">
        <f t="shared" si="125"/>
        <v>0.10909090909090909</v>
      </c>
      <c r="R122" s="4"/>
      <c r="S122" s="4">
        <v>5</v>
      </c>
      <c r="T122" s="4">
        <f t="shared" si="126"/>
        <v>3</v>
      </c>
      <c r="U122" s="62">
        <f t="shared" si="127"/>
        <v>0.18181818181818182</v>
      </c>
      <c r="V122" s="4">
        <f t="shared" si="128"/>
        <v>60</v>
      </c>
      <c r="W122" s="4">
        <f t="shared" si="129"/>
        <v>59.999000000000002</v>
      </c>
      <c r="X122" s="4">
        <f ca="1">IF(T122=0,0,INDIRECT(ADDRESS(MATCH(W122,Rango!$B$2:$B$101,1)+1,3,1,1,"Rango")))</f>
        <v>3</v>
      </c>
      <c r="Y122" s="4">
        <f ca="1">IF(T122=0,0,INDIRECT(ADDRESS(MATCH(W122,Rango!$B$2:$B$101,1)+2,3,1,1,"Rango")))</f>
        <v>5</v>
      </c>
      <c r="Z122" s="4">
        <f>IF(T122=0,0,VLOOKUP(W122-0.01,Rango!$B$2:$B$101,1))</f>
        <v>40</v>
      </c>
      <c r="AA122" s="4">
        <f ca="1">IF(T122=0,0,INDIRECT(ADDRESS(MATCH(W122,Rango!$B$2:$B$101,1)+2,2,1,1,"Rango")))-Z122</f>
        <v>20</v>
      </c>
      <c r="AB122" s="59">
        <f t="shared" ca="1" si="130"/>
        <v>4.9999000000000002</v>
      </c>
      <c r="AC122" s="4">
        <f t="shared" si="131"/>
        <v>1</v>
      </c>
      <c r="AD122" s="63">
        <f t="shared" ca="1" si="132"/>
        <v>4.9999000000000002</v>
      </c>
      <c r="AE122" s="59">
        <f t="shared" ca="1" si="133"/>
        <v>0.90907272727272737</v>
      </c>
      <c r="AF122" s="4" t="s">
        <v>647</v>
      </c>
      <c r="AG122" s="4"/>
      <c r="AH122" s="4"/>
      <c r="AI122" s="4"/>
    </row>
    <row r="123" spans="1:35" x14ac:dyDescent="0.25">
      <c r="A123" s="4"/>
      <c r="B123" s="4"/>
      <c r="C123" s="4" t="s">
        <v>650</v>
      </c>
      <c r="D123" s="4">
        <v>6</v>
      </c>
      <c r="E123" s="4">
        <f>+IF(FormularioFODA!D129="x",1,0)*E$2</f>
        <v>0</v>
      </c>
      <c r="F123" s="4">
        <f>+IF(FormularioFODA!E129="x",1,0)*F$2</f>
        <v>0</v>
      </c>
      <c r="G123" s="4">
        <f>+IF(FormularioFODA!F129="x",1,0)*G$2</f>
        <v>3</v>
      </c>
      <c r="H123" s="4">
        <f>+IF(FormularioFODA!G129="x",1,0)*H$2</f>
        <v>0</v>
      </c>
      <c r="I123" s="4">
        <f>+IF(FormularioFODA!H129="x",1,0)*I$2</f>
        <v>0</v>
      </c>
      <c r="J123" s="4">
        <f t="shared" si="122"/>
        <v>3</v>
      </c>
      <c r="K123" s="4">
        <f>+IF(FormularioFODA!J129="x",1,0)*K$2</f>
        <v>0</v>
      </c>
      <c r="L123" s="4">
        <f>+IF(FormularioFODA!K129="x",1,0)*L$2</f>
        <v>0</v>
      </c>
      <c r="M123" s="4">
        <f>+IF(FormularioFODA!L129="x",1,0)*M$2</f>
        <v>3</v>
      </c>
      <c r="N123" s="4">
        <f>+IF(FormularioFODA!M129="x",1,0)*N$2</f>
        <v>0</v>
      </c>
      <c r="O123" s="4">
        <f t="shared" si="123"/>
        <v>3</v>
      </c>
      <c r="P123" s="34">
        <f t="shared" si="124"/>
        <v>0.13636363636363635</v>
      </c>
      <c r="Q123" s="59">
        <f t="shared" si="125"/>
        <v>8.1818181818181804E-2</v>
      </c>
      <c r="R123" s="4"/>
      <c r="S123" s="4">
        <v>5</v>
      </c>
      <c r="T123" s="4">
        <f t="shared" si="126"/>
        <v>3</v>
      </c>
      <c r="U123" s="62">
        <f t="shared" si="127"/>
        <v>0.13636363636363635</v>
      </c>
      <c r="V123" s="4">
        <f t="shared" si="128"/>
        <v>60</v>
      </c>
      <c r="W123" s="4">
        <f t="shared" si="129"/>
        <v>59.999000000000002</v>
      </c>
      <c r="X123" s="4">
        <f ca="1">IF(T123=0,0,INDIRECT(ADDRESS(MATCH(W123,Rango!$B$2:$B$101,1)+1,3,1,1,"Rango")))</f>
        <v>3</v>
      </c>
      <c r="Y123" s="4">
        <f ca="1">IF(T123=0,0,INDIRECT(ADDRESS(MATCH(W123,Rango!$B$2:$B$101,1)+2,3,1,1,"Rango")))</f>
        <v>5</v>
      </c>
      <c r="Z123" s="4">
        <f>IF(T123=0,0,VLOOKUP(W123-0.01,Rango!$B$2:$B$101,1))</f>
        <v>40</v>
      </c>
      <c r="AA123" s="4">
        <f ca="1">IF(T123=0,0,INDIRECT(ADDRESS(MATCH(W123,Rango!$B$2:$B$101,1)+2,2,1,1,"Rango")))-Z123</f>
        <v>20</v>
      </c>
      <c r="AB123" s="59">
        <f t="shared" ca="1" si="130"/>
        <v>4.9999000000000002</v>
      </c>
      <c r="AC123" s="4">
        <f t="shared" si="131"/>
        <v>1</v>
      </c>
      <c r="AD123" s="63">
        <f t="shared" ca="1" si="132"/>
        <v>4.9999000000000002</v>
      </c>
      <c r="AE123" s="59">
        <f t="shared" ca="1" si="133"/>
        <v>0.68180454545454539</v>
      </c>
      <c r="AF123" s="4" t="s">
        <v>651</v>
      </c>
      <c r="AG123" s="4"/>
      <c r="AH123" s="4"/>
      <c r="AI123" s="4"/>
    </row>
    <row r="124" spans="1:35" x14ac:dyDescent="0.25">
      <c r="A124" s="4"/>
      <c r="B124" s="4"/>
      <c r="C124" s="4" t="s">
        <v>654</v>
      </c>
      <c r="D124" s="4">
        <v>7</v>
      </c>
      <c r="E124" s="4">
        <f>+IF(FormularioFODA!D130="x",1,0)*E$2</f>
        <v>0</v>
      </c>
      <c r="F124" s="4">
        <f>+IF(FormularioFODA!E130="x",1,0)*F$2</f>
        <v>0</v>
      </c>
      <c r="G124" s="4">
        <f>+IF(FormularioFODA!F130="x",1,0)*G$2</f>
        <v>3</v>
      </c>
      <c r="H124" s="4">
        <f>+IF(FormularioFODA!G130="x",1,0)*H$2</f>
        <v>0</v>
      </c>
      <c r="I124" s="4">
        <f>+IF(FormularioFODA!H130="x",1,0)*I$2</f>
        <v>0</v>
      </c>
      <c r="J124" s="4">
        <f t="shared" si="122"/>
        <v>3</v>
      </c>
      <c r="K124" s="4">
        <f>+IF(FormularioFODA!J130="x",1,0)*K$2</f>
        <v>0</v>
      </c>
      <c r="L124" s="4">
        <f>+IF(FormularioFODA!K130="x",1,0)*L$2</f>
        <v>0</v>
      </c>
      <c r="M124" s="4">
        <f>+IF(FormularioFODA!L130="x",1,0)*M$2</f>
        <v>0</v>
      </c>
      <c r="N124" s="4">
        <f>+IF(FormularioFODA!M130="x",1,0)*N$2</f>
        <v>4</v>
      </c>
      <c r="O124" s="4">
        <f t="shared" si="123"/>
        <v>4</v>
      </c>
      <c r="P124" s="34">
        <f t="shared" si="124"/>
        <v>0.18181818181818182</v>
      </c>
      <c r="Q124" s="59">
        <f t="shared" si="125"/>
        <v>0.10909090909090909</v>
      </c>
      <c r="R124" s="4"/>
      <c r="S124" s="4">
        <v>5</v>
      </c>
      <c r="T124" s="4">
        <f t="shared" si="126"/>
        <v>3</v>
      </c>
      <c r="U124" s="62">
        <f t="shared" si="127"/>
        <v>0.18181818181818182</v>
      </c>
      <c r="V124" s="4">
        <f t="shared" si="128"/>
        <v>60</v>
      </c>
      <c r="W124" s="4">
        <f t="shared" si="129"/>
        <v>59.999000000000002</v>
      </c>
      <c r="X124" s="4">
        <f ca="1">IF(T124=0,0,INDIRECT(ADDRESS(MATCH(W124,Rango!$B$2:$B$101,1)+1,3,1,1,"Rango")))</f>
        <v>3</v>
      </c>
      <c r="Y124" s="4">
        <f ca="1">IF(T124=0,0,INDIRECT(ADDRESS(MATCH(W124,Rango!$B$2:$B$101,1)+2,3,1,1,"Rango")))</f>
        <v>5</v>
      </c>
      <c r="Z124" s="4">
        <f>IF(T124=0,0,VLOOKUP(W124-0.01,Rango!$B$2:$B$101,1))</f>
        <v>40</v>
      </c>
      <c r="AA124" s="4">
        <f ca="1">IF(T124=0,0,INDIRECT(ADDRESS(MATCH(W124,Rango!$B$2:$B$101,1)+2,2,1,1,"Rango")))-Z124</f>
        <v>20</v>
      </c>
      <c r="AB124" s="59">
        <f t="shared" ca="1" si="130"/>
        <v>4.9999000000000002</v>
      </c>
      <c r="AC124" s="4">
        <f t="shared" si="131"/>
        <v>1</v>
      </c>
      <c r="AD124" s="63">
        <f t="shared" ca="1" si="132"/>
        <v>4.9999000000000002</v>
      </c>
      <c r="AE124" s="59">
        <f t="shared" ca="1" si="133"/>
        <v>0.90907272727272737</v>
      </c>
      <c r="AF124" s="4" t="s">
        <v>655</v>
      </c>
      <c r="AG124" s="4"/>
      <c r="AH124" s="4"/>
      <c r="AI124" s="4"/>
    </row>
    <row r="125" spans="1:35" x14ac:dyDescent="0.25">
      <c r="A125" s="4"/>
      <c r="B125" s="12" t="s">
        <v>829</v>
      </c>
      <c r="C125" s="4"/>
      <c r="D125" s="4"/>
      <c r="E125" s="12">
        <f t="shared" ref="E125:Q125" si="134">SUM(E118:E124)</f>
        <v>1</v>
      </c>
      <c r="F125" s="12">
        <f t="shared" si="134"/>
        <v>0</v>
      </c>
      <c r="G125" s="12">
        <f t="shared" si="134"/>
        <v>18</v>
      </c>
      <c r="H125" s="12">
        <f t="shared" si="134"/>
        <v>0</v>
      </c>
      <c r="I125" s="12">
        <f t="shared" si="134"/>
        <v>0</v>
      </c>
      <c r="J125" s="12">
        <f t="shared" si="134"/>
        <v>19</v>
      </c>
      <c r="K125" s="12">
        <f t="shared" si="134"/>
        <v>0</v>
      </c>
      <c r="L125" s="12">
        <f t="shared" si="134"/>
        <v>4</v>
      </c>
      <c r="M125" s="12">
        <f t="shared" si="134"/>
        <v>6</v>
      </c>
      <c r="N125" s="12">
        <f t="shared" si="134"/>
        <v>12</v>
      </c>
      <c r="O125" s="12">
        <f t="shared" si="134"/>
        <v>22</v>
      </c>
      <c r="P125" s="60">
        <f t="shared" si="134"/>
        <v>1</v>
      </c>
      <c r="Q125" s="61">
        <f t="shared" si="134"/>
        <v>0.5636363636363636</v>
      </c>
      <c r="R125" s="4"/>
      <c r="S125" s="4">
        <f>SUM(S118:S124)</f>
        <v>35</v>
      </c>
      <c r="T125" s="4"/>
      <c r="U125" s="62"/>
      <c r="V125" s="4"/>
      <c r="W125" s="4"/>
      <c r="X125" s="4"/>
      <c r="Y125" s="4"/>
      <c r="Z125" s="4"/>
      <c r="AA125" s="4"/>
      <c r="AB125" s="59"/>
      <c r="AC125" s="4"/>
      <c r="AD125" s="63"/>
      <c r="AE125" s="68">
        <f ca="1">SUM(AE118:AE124)</f>
        <v>4.6362681818181821</v>
      </c>
      <c r="AF125" s="4"/>
      <c r="AG125" s="4"/>
      <c r="AH125" s="4"/>
      <c r="AI125" s="4"/>
    </row>
    <row r="126" spans="1:35" x14ac:dyDescent="0.25">
      <c r="A126" s="4"/>
      <c r="B126" s="4"/>
      <c r="C126" s="4"/>
      <c r="D126" s="4"/>
      <c r="E126" s="4"/>
      <c r="F126" s="4"/>
      <c r="G126" s="4"/>
      <c r="H126" s="4"/>
      <c r="I126" s="4"/>
      <c r="J126" s="4"/>
      <c r="K126" s="4"/>
      <c r="L126" s="4"/>
      <c r="M126" s="4"/>
      <c r="N126" s="4"/>
      <c r="O126" s="4"/>
      <c r="P126" s="34"/>
      <c r="Q126" s="59"/>
      <c r="R126" s="4"/>
      <c r="S126" s="4"/>
      <c r="T126" s="4"/>
      <c r="U126" s="62"/>
      <c r="V126" s="4"/>
      <c r="W126" s="4"/>
      <c r="X126" s="4"/>
      <c r="Y126" s="4"/>
      <c r="Z126" s="4"/>
      <c r="AA126" s="4"/>
      <c r="AB126" s="59"/>
      <c r="AC126" s="4"/>
      <c r="AD126" s="63"/>
      <c r="AE126" s="59"/>
      <c r="AF126" s="4"/>
      <c r="AG126" s="4"/>
      <c r="AH126" s="4"/>
      <c r="AI126" s="4"/>
    </row>
    <row r="127" spans="1:35" x14ac:dyDescent="0.25">
      <c r="A127" s="4"/>
      <c r="B127" s="4" t="str">
        <f>+FormularioFODA!B132</f>
        <v>Mercado y Competencia</v>
      </c>
      <c r="C127" s="4" t="s">
        <v>658</v>
      </c>
      <c r="D127" s="4">
        <v>1</v>
      </c>
      <c r="E127" s="4">
        <f>+IF(FormularioFODA!D133="x",1,0)*E$2</f>
        <v>1</v>
      </c>
      <c r="F127" s="4">
        <f>+IF(FormularioFODA!E133="x",1,0)*F$2</f>
        <v>0</v>
      </c>
      <c r="G127" s="4">
        <f>+IF(FormularioFODA!F133="x",1,0)*G$2</f>
        <v>0</v>
      </c>
      <c r="H127" s="4">
        <f>+IF(FormularioFODA!G133="x",1,0)*H$2</f>
        <v>0</v>
      </c>
      <c r="I127" s="4">
        <f>+IF(FormularioFODA!H133="x",1,0)*I$2</f>
        <v>0</v>
      </c>
      <c r="J127" s="4">
        <f t="shared" ref="J127:J132" si="135">SUM(E127:I127)</f>
        <v>1</v>
      </c>
      <c r="K127" s="4">
        <f>+IF(FormularioFODA!J133="x",1,0)*K$2</f>
        <v>0</v>
      </c>
      <c r="L127" s="4">
        <f>+IF(FormularioFODA!K133="x",1,0)*L$2</f>
        <v>2</v>
      </c>
      <c r="M127" s="4">
        <f>+IF(FormularioFODA!L133="x",1,0)*M$2</f>
        <v>0</v>
      </c>
      <c r="N127" s="4">
        <f>+IF(FormularioFODA!M133="x",1,0)*N$2</f>
        <v>0</v>
      </c>
      <c r="O127" s="4">
        <f t="shared" ref="O127:O132" si="136">SUM(K127:N127)</f>
        <v>2</v>
      </c>
      <c r="P127" s="34">
        <f t="shared" ref="P127:P132" si="137">IF($O$133=0,0,O127/$O$133)</f>
        <v>0.11764705882352941</v>
      </c>
      <c r="Q127" s="59">
        <f t="shared" ref="Q127:Q132" si="138">+(J127/$I$2)*P127</f>
        <v>2.3529411764705882E-2</v>
      </c>
      <c r="R127" s="4"/>
      <c r="S127" s="4">
        <v>5</v>
      </c>
      <c r="T127" s="4">
        <f t="shared" ref="T127:T132" si="139">+J127</f>
        <v>1</v>
      </c>
      <c r="U127" s="62">
        <f t="shared" ref="U127:U132" si="140">+P127</f>
        <v>0.11764705882352941</v>
      </c>
      <c r="V127" s="4">
        <f t="shared" ref="V127:V132" si="141">IF(ISERROR(T127/S127*100-IF(T127/S127&lt;0,100,0)),0,T127/S127*100-IF(T127/S127&lt;0,100,0))</f>
        <v>20</v>
      </c>
      <c r="W127" s="4">
        <f t="shared" ref="W127:W132" si="142">ABS(V127)-0.001</f>
        <v>19.998999999999999</v>
      </c>
      <c r="X127" s="4">
        <f ca="1">IF(T127=0,0,INDIRECT(ADDRESS(MATCH(W127,Rango!$B$2:$B$101,1)+1,3,1,1,"Rango")))</f>
        <v>0</v>
      </c>
      <c r="Y127" s="4">
        <f ca="1">IF(T127=0,0,INDIRECT(ADDRESS(MATCH(W127,Rango!$B$2:$B$101,1)+2,3,1,1,"Rango")))</f>
        <v>1</v>
      </c>
      <c r="Z127" s="4">
        <f>IF(T127=0,0,VLOOKUP(W127-0.01,Rango!$B$2:$B$101,1))</f>
        <v>0</v>
      </c>
      <c r="AA127" s="4">
        <f ca="1">IF(T127=0,0,INDIRECT(ADDRESS(MATCH(W127,Rango!$B$2:$B$101,1)+2,2,1,1,"Rango")))-Z127</f>
        <v>20</v>
      </c>
      <c r="AB127" s="59">
        <f t="shared" ref="AB127:AB132" ca="1" si="143">IF(AND(Y127=0,X127&lt;&gt;0),X127,IF(AA127=0,0,X127+((W127-Z127)*(Y127-X127))/AA127))</f>
        <v>0.99994999999999989</v>
      </c>
      <c r="AC127" s="4">
        <f t="shared" ref="AC127:AC132" si="144">IF(V127&gt;0,1)+(IF(V127&lt;0,-1))</f>
        <v>1</v>
      </c>
      <c r="AD127" s="63">
        <f t="shared" ref="AD127:AD132" ca="1" si="145">AB127*AC127</f>
        <v>0.99994999999999989</v>
      </c>
      <c r="AE127" s="59">
        <f t="shared" ref="AE127:AE132" ca="1" si="146">AD127*U127</f>
        <v>0.11764117647058822</v>
      </c>
      <c r="AF127" s="4" t="s">
        <v>659</v>
      </c>
      <c r="AG127" s="4"/>
      <c r="AH127" s="4"/>
      <c r="AI127" s="4"/>
    </row>
    <row r="128" spans="1:35" x14ac:dyDescent="0.25">
      <c r="A128" s="4"/>
      <c r="B128" s="4"/>
      <c r="C128" s="4" t="s">
        <v>663</v>
      </c>
      <c r="D128" s="4">
        <v>2</v>
      </c>
      <c r="E128" s="4">
        <f>+IF(FormularioFODA!D134="x",1,0)*E$2</f>
        <v>0</v>
      </c>
      <c r="F128" s="4">
        <f>+IF(FormularioFODA!E134="x",1,0)*F$2</f>
        <v>0</v>
      </c>
      <c r="G128" s="4">
        <f>+IF(FormularioFODA!F134="x",1,0)*G$2</f>
        <v>3</v>
      </c>
      <c r="H128" s="4">
        <f>+IF(FormularioFODA!G134="x",1,0)*H$2</f>
        <v>0</v>
      </c>
      <c r="I128" s="4">
        <f>+IF(FormularioFODA!H134="x",1,0)*I$2</f>
        <v>0</v>
      </c>
      <c r="J128" s="4">
        <f t="shared" si="135"/>
        <v>3</v>
      </c>
      <c r="K128" s="4">
        <f>+IF(FormularioFODA!J134="x",1,0)*K$2</f>
        <v>0</v>
      </c>
      <c r="L128" s="4">
        <f>+IF(FormularioFODA!K134="x",1,0)*L$2</f>
        <v>0</v>
      </c>
      <c r="M128" s="4">
        <f>+IF(FormularioFODA!L134="x",1,0)*M$2</f>
        <v>0</v>
      </c>
      <c r="N128" s="4">
        <f>+IF(FormularioFODA!M134="x",1,0)*N$2</f>
        <v>4</v>
      </c>
      <c r="O128" s="4">
        <f t="shared" si="136"/>
        <v>4</v>
      </c>
      <c r="P128" s="34">
        <f t="shared" si="137"/>
        <v>0.23529411764705882</v>
      </c>
      <c r="Q128" s="59">
        <f t="shared" si="138"/>
        <v>0.14117647058823529</v>
      </c>
      <c r="R128" s="4"/>
      <c r="S128" s="4">
        <v>5</v>
      </c>
      <c r="T128" s="4">
        <f t="shared" si="139"/>
        <v>3</v>
      </c>
      <c r="U128" s="62">
        <f t="shared" si="140"/>
        <v>0.23529411764705882</v>
      </c>
      <c r="V128" s="4">
        <f t="shared" si="141"/>
        <v>60</v>
      </c>
      <c r="W128" s="4">
        <f t="shared" si="142"/>
        <v>59.999000000000002</v>
      </c>
      <c r="X128" s="4">
        <f ca="1">IF(T128=0,0,INDIRECT(ADDRESS(MATCH(W128,Rango!$B$2:$B$101,1)+1,3,1,1,"Rango")))</f>
        <v>3</v>
      </c>
      <c r="Y128" s="4">
        <f ca="1">IF(T128=0,0,INDIRECT(ADDRESS(MATCH(W128,Rango!$B$2:$B$101,1)+2,3,1,1,"Rango")))</f>
        <v>5</v>
      </c>
      <c r="Z128" s="4">
        <f>IF(T128=0,0,VLOOKUP(W128-0.01,Rango!$B$2:$B$101,1))</f>
        <v>40</v>
      </c>
      <c r="AA128" s="4">
        <f ca="1">IF(T128=0,0,INDIRECT(ADDRESS(MATCH(W128,Rango!$B$2:$B$101,1)+2,2,1,1,"Rango")))-Z128</f>
        <v>20</v>
      </c>
      <c r="AB128" s="59">
        <f t="shared" ca="1" si="143"/>
        <v>4.9999000000000002</v>
      </c>
      <c r="AC128" s="4">
        <f t="shared" si="144"/>
        <v>1</v>
      </c>
      <c r="AD128" s="63">
        <f t="shared" ca="1" si="145"/>
        <v>4.9999000000000002</v>
      </c>
      <c r="AE128" s="59">
        <f t="shared" ca="1" si="146"/>
        <v>1.1764470588235294</v>
      </c>
      <c r="AF128" s="4" t="s">
        <v>664</v>
      </c>
      <c r="AG128" s="4"/>
      <c r="AH128" s="4"/>
      <c r="AI128" s="4"/>
    </row>
    <row r="129" spans="1:35" x14ac:dyDescent="0.25">
      <c r="A129" s="4"/>
      <c r="B129" s="4"/>
      <c r="C129" s="4" t="s">
        <v>667</v>
      </c>
      <c r="D129" s="4">
        <v>3</v>
      </c>
      <c r="E129" s="4">
        <f>+IF(FormularioFODA!D135="x",1,0)*E$2</f>
        <v>0</v>
      </c>
      <c r="F129" s="4">
        <f>+IF(FormularioFODA!E135="x",1,0)*F$2</f>
        <v>0</v>
      </c>
      <c r="G129" s="4">
        <f>+IF(FormularioFODA!F135="x",1,0)*G$2</f>
        <v>3</v>
      </c>
      <c r="H129" s="4">
        <f>+IF(FormularioFODA!G135="x",1,0)*H$2</f>
        <v>0</v>
      </c>
      <c r="I129" s="4">
        <f>+IF(FormularioFODA!H135="x",1,0)*I$2</f>
        <v>0</v>
      </c>
      <c r="J129" s="4">
        <f t="shared" si="135"/>
        <v>3</v>
      </c>
      <c r="K129" s="4">
        <f>+IF(FormularioFODA!J135="x",1,0)*K$2</f>
        <v>0</v>
      </c>
      <c r="L129" s="4">
        <f>+IF(FormularioFODA!K135="x",1,0)*L$2</f>
        <v>0</v>
      </c>
      <c r="M129" s="4">
        <f>+IF(FormularioFODA!L135="x",1,0)*M$2</f>
        <v>3</v>
      </c>
      <c r="N129" s="4">
        <f>+IF(FormularioFODA!M135="x",1,0)*N$2</f>
        <v>0</v>
      </c>
      <c r="O129" s="4">
        <f t="shared" si="136"/>
        <v>3</v>
      </c>
      <c r="P129" s="34">
        <f t="shared" si="137"/>
        <v>0.17647058823529413</v>
      </c>
      <c r="Q129" s="59">
        <f t="shared" si="138"/>
        <v>0.10588235294117647</v>
      </c>
      <c r="R129" s="4"/>
      <c r="S129" s="4">
        <v>5</v>
      </c>
      <c r="T129" s="4">
        <f t="shared" si="139"/>
        <v>3</v>
      </c>
      <c r="U129" s="62">
        <f t="shared" si="140"/>
        <v>0.17647058823529413</v>
      </c>
      <c r="V129" s="4">
        <f t="shared" si="141"/>
        <v>60</v>
      </c>
      <c r="W129" s="4">
        <f t="shared" si="142"/>
        <v>59.999000000000002</v>
      </c>
      <c r="X129" s="4">
        <f ca="1">IF(T129=0,0,INDIRECT(ADDRESS(MATCH(W129,Rango!$B$2:$B$101,1)+1,3,1,1,"Rango")))</f>
        <v>3</v>
      </c>
      <c r="Y129" s="4">
        <f ca="1">IF(T129=0,0,INDIRECT(ADDRESS(MATCH(W129,Rango!$B$2:$B$101,1)+2,3,1,1,"Rango")))</f>
        <v>5</v>
      </c>
      <c r="Z129" s="4">
        <f>IF(T129=0,0,VLOOKUP(W129-0.01,Rango!$B$2:$B$101,1))</f>
        <v>40</v>
      </c>
      <c r="AA129" s="4">
        <f ca="1">IF(T129=0,0,INDIRECT(ADDRESS(MATCH(W129,Rango!$B$2:$B$101,1)+2,2,1,1,"Rango")))-Z129</f>
        <v>20</v>
      </c>
      <c r="AB129" s="59">
        <f t="shared" ca="1" si="143"/>
        <v>4.9999000000000002</v>
      </c>
      <c r="AC129" s="4">
        <f t="shared" si="144"/>
        <v>1</v>
      </c>
      <c r="AD129" s="63">
        <f t="shared" ca="1" si="145"/>
        <v>4.9999000000000002</v>
      </c>
      <c r="AE129" s="59">
        <f t="shared" ca="1" si="146"/>
        <v>0.88233529411764711</v>
      </c>
      <c r="AF129" s="4" t="s">
        <v>668</v>
      </c>
      <c r="AG129" s="4"/>
      <c r="AH129" s="4"/>
      <c r="AI129" s="4"/>
    </row>
    <row r="130" spans="1:35" x14ac:dyDescent="0.25">
      <c r="A130" s="4"/>
      <c r="B130" s="4"/>
      <c r="C130" s="4" t="s">
        <v>671</v>
      </c>
      <c r="D130" s="4">
        <v>4</v>
      </c>
      <c r="E130" s="4">
        <f>+IF(FormularioFODA!D136="x",1,0)*E$2</f>
        <v>0</v>
      </c>
      <c r="F130" s="4">
        <f>+IF(FormularioFODA!E136="x",1,0)*F$2</f>
        <v>0</v>
      </c>
      <c r="G130" s="4">
        <f>+IF(FormularioFODA!F136="x",1,0)*G$2</f>
        <v>0</v>
      </c>
      <c r="H130" s="4">
        <f>+IF(FormularioFODA!G136="x",1,0)*H$2</f>
        <v>4</v>
      </c>
      <c r="I130" s="4">
        <f>+IF(FormularioFODA!H136="x",1,0)*I$2</f>
        <v>0</v>
      </c>
      <c r="J130" s="4">
        <f t="shared" si="135"/>
        <v>4</v>
      </c>
      <c r="K130" s="4">
        <f>+IF(FormularioFODA!J136="x",1,0)*K$2</f>
        <v>0</v>
      </c>
      <c r="L130" s="4">
        <f>+IF(FormularioFODA!K136="x",1,0)*L$2</f>
        <v>2</v>
      </c>
      <c r="M130" s="4">
        <f>+IF(FormularioFODA!L136="x",1,0)*M$2</f>
        <v>0</v>
      </c>
      <c r="N130" s="4">
        <f>+IF(FormularioFODA!M136="x",1,0)*N$2</f>
        <v>0</v>
      </c>
      <c r="O130" s="4">
        <f t="shared" si="136"/>
        <v>2</v>
      </c>
      <c r="P130" s="34">
        <f t="shared" si="137"/>
        <v>0.11764705882352941</v>
      </c>
      <c r="Q130" s="59">
        <f t="shared" si="138"/>
        <v>9.4117647058823528E-2</v>
      </c>
      <c r="R130" s="4"/>
      <c r="S130" s="4">
        <v>5</v>
      </c>
      <c r="T130" s="4">
        <f t="shared" si="139"/>
        <v>4</v>
      </c>
      <c r="U130" s="62">
        <f t="shared" si="140"/>
        <v>0.11764705882352941</v>
      </c>
      <c r="V130" s="4">
        <f t="shared" si="141"/>
        <v>80</v>
      </c>
      <c r="W130" s="4">
        <f t="shared" si="142"/>
        <v>79.998999999999995</v>
      </c>
      <c r="X130" s="4">
        <f ca="1">IF(T130=0,0,INDIRECT(ADDRESS(MATCH(W130,Rango!$B$2:$B$101,1)+1,3,1,1,"Rango")))</f>
        <v>5</v>
      </c>
      <c r="Y130" s="4">
        <f ca="1">IF(T130=0,0,INDIRECT(ADDRESS(MATCH(W130,Rango!$B$2:$B$101,1)+2,3,1,1,"Rango")))</f>
        <v>7</v>
      </c>
      <c r="Z130" s="4">
        <f>IF(T130=0,0,VLOOKUP(W130-0.01,Rango!$B$2:$B$101,1))</f>
        <v>60</v>
      </c>
      <c r="AA130" s="4">
        <f ca="1">IF(T130=0,0,INDIRECT(ADDRESS(MATCH(W130,Rango!$B$2:$B$101,1)+2,2,1,1,"Rango")))-Z130</f>
        <v>20</v>
      </c>
      <c r="AB130" s="59">
        <f t="shared" ca="1" si="143"/>
        <v>6.9998999999999993</v>
      </c>
      <c r="AC130" s="4">
        <f t="shared" si="144"/>
        <v>1</v>
      </c>
      <c r="AD130" s="63">
        <f t="shared" ca="1" si="145"/>
        <v>6.9998999999999993</v>
      </c>
      <c r="AE130" s="59">
        <f t="shared" ca="1" si="146"/>
        <v>0.82351764705882347</v>
      </c>
      <c r="AF130" s="4" t="s">
        <v>672</v>
      </c>
      <c r="AG130" s="4"/>
      <c r="AH130" s="4"/>
      <c r="AI130" s="4"/>
    </row>
    <row r="131" spans="1:35" x14ac:dyDescent="0.25">
      <c r="A131" s="4"/>
      <c r="B131" s="4"/>
      <c r="C131" s="4" t="s">
        <v>675</v>
      </c>
      <c r="D131" s="4">
        <v>5</v>
      </c>
      <c r="E131" s="4">
        <f>+IF(FormularioFODA!D137="x",1,0)*E$2</f>
        <v>0</v>
      </c>
      <c r="F131" s="4">
        <f>+IF(FormularioFODA!E137="x",1,0)*F$2</f>
        <v>0</v>
      </c>
      <c r="G131" s="4">
        <f>+IF(FormularioFODA!F137="x",1,0)*G$2</f>
        <v>3</v>
      </c>
      <c r="H131" s="4">
        <f>+IF(FormularioFODA!G137="x",1,0)*H$2</f>
        <v>0</v>
      </c>
      <c r="I131" s="4">
        <f>+IF(FormularioFODA!H137="x",1,0)*I$2</f>
        <v>0</v>
      </c>
      <c r="J131" s="4">
        <f t="shared" si="135"/>
        <v>3</v>
      </c>
      <c r="K131" s="4">
        <f>+IF(FormularioFODA!J137="x",1,0)*K$2</f>
        <v>0</v>
      </c>
      <c r="L131" s="4">
        <f>+IF(FormularioFODA!K137="x",1,0)*L$2</f>
        <v>0</v>
      </c>
      <c r="M131" s="4">
        <f>+IF(FormularioFODA!L137="x",1,0)*M$2</f>
        <v>3</v>
      </c>
      <c r="N131" s="4">
        <f>+IF(FormularioFODA!M137="x",1,0)*N$2</f>
        <v>0</v>
      </c>
      <c r="O131" s="4">
        <f t="shared" si="136"/>
        <v>3</v>
      </c>
      <c r="P131" s="34">
        <f t="shared" si="137"/>
        <v>0.17647058823529413</v>
      </c>
      <c r="Q131" s="59">
        <f t="shared" si="138"/>
        <v>0.10588235294117647</v>
      </c>
      <c r="R131" s="4"/>
      <c r="S131" s="4">
        <v>5</v>
      </c>
      <c r="T131" s="4">
        <f t="shared" si="139"/>
        <v>3</v>
      </c>
      <c r="U131" s="62">
        <f t="shared" si="140"/>
        <v>0.17647058823529413</v>
      </c>
      <c r="V131" s="4">
        <f t="shared" si="141"/>
        <v>60</v>
      </c>
      <c r="W131" s="4">
        <f t="shared" si="142"/>
        <v>59.999000000000002</v>
      </c>
      <c r="X131" s="4">
        <f ca="1">IF(T131=0,0,INDIRECT(ADDRESS(MATCH(W131,Rango!$B$2:$B$101,1)+1,3,1,1,"Rango")))</f>
        <v>3</v>
      </c>
      <c r="Y131" s="4">
        <f ca="1">IF(T131=0,0,INDIRECT(ADDRESS(MATCH(W131,Rango!$B$2:$B$101,1)+2,3,1,1,"Rango")))</f>
        <v>5</v>
      </c>
      <c r="Z131" s="4">
        <f>IF(T131=0,0,VLOOKUP(W131-0.01,Rango!$B$2:$B$101,1))</f>
        <v>40</v>
      </c>
      <c r="AA131" s="4">
        <f ca="1">IF(T131=0,0,INDIRECT(ADDRESS(MATCH(W131,Rango!$B$2:$B$101,1)+2,2,1,1,"Rango")))-Z131</f>
        <v>20</v>
      </c>
      <c r="AB131" s="59">
        <f t="shared" ca="1" si="143"/>
        <v>4.9999000000000002</v>
      </c>
      <c r="AC131" s="4">
        <f t="shared" si="144"/>
        <v>1</v>
      </c>
      <c r="AD131" s="63">
        <f t="shared" ca="1" si="145"/>
        <v>4.9999000000000002</v>
      </c>
      <c r="AE131" s="59">
        <f t="shared" ca="1" si="146"/>
        <v>0.88233529411764711</v>
      </c>
      <c r="AF131" s="4" t="s">
        <v>676</v>
      </c>
      <c r="AG131" s="4"/>
      <c r="AH131" s="4"/>
      <c r="AI131" s="4"/>
    </row>
    <row r="132" spans="1:35" x14ac:dyDescent="0.25">
      <c r="A132" s="4"/>
      <c r="B132" s="4"/>
      <c r="C132" s="4" t="s">
        <v>679</v>
      </c>
      <c r="D132" s="4">
        <v>6</v>
      </c>
      <c r="E132" s="4">
        <f>+IF(FormularioFODA!D138="x",1,0)*E$2</f>
        <v>0</v>
      </c>
      <c r="F132" s="4">
        <f>+IF(FormularioFODA!E138="x",1,0)*F$2</f>
        <v>0</v>
      </c>
      <c r="G132" s="4">
        <f>+IF(FormularioFODA!F138="x",1,0)*G$2</f>
        <v>0</v>
      </c>
      <c r="H132" s="4">
        <f>+IF(FormularioFODA!G138="x",1,0)*H$2</f>
        <v>4</v>
      </c>
      <c r="I132" s="4">
        <f>+IF(FormularioFODA!H138="x",1,0)*I$2</f>
        <v>0</v>
      </c>
      <c r="J132" s="4">
        <f t="shared" si="135"/>
        <v>4</v>
      </c>
      <c r="K132" s="4">
        <f>+IF(FormularioFODA!J138="x",1,0)*K$2</f>
        <v>0</v>
      </c>
      <c r="L132" s="4">
        <f>+IF(FormularioFODA!K138="x",1,0)*L$2</f>
        <v>0</v>
      </c>
      <c r="M132" s="4">
        <f>+IF(FormularioFODA!L138="x",1,0)*M$2</f>
        <v>3</v>
      </c>
      <c r="N132" s="4">
        <f>+IF(FormularioFODA!M138="x",1,0)*N$2</f>
        <v>0</v>
      </c>
      <c r="O132" s="4">
        <f t="shared" si="136"/>
        <v>3</v>
      </c>
      <c r="P132" s="34">
        <f t="shared" si="137"/>
        <v>0.17647058823529413</v>
      </c>
      <c r="Q132" s="59">
        <f t="shared" si="138"/>
        <v>0.14117647058823532</v>
      </c>
      <c r="R132" s="4"/>
      <c r="S132" s="4">
        <v>5</v>
      </c>
      <c r="T132" s="4">
        <f t="shared" si="139"/>
        <v>4</v>
      </c>
      <c r="U132" s="62">
        <f t="shared" si="140"/>
        <v>0.17647058823529413</v>
      </c>
      <c r="V132" s="4">
        <f t="shared" si="141"/>
        <v>80</v>
      </c>
      <c r="W132" s="4">
        <f t="shared" si="142"/>
        <v>79.998999999999995</v>
      </c>
      <c r="X132" s="4">
        <f ca="1">IF(T132=0,0,INDIRECT(ADDRESS(MATCH(W132,Rango!$B$2:$B$101,1)+1,3,1,1,"Rango")))</f>
        <v>5</v>
      </c>
      <c r="Y132" s="4">
        <f ca="1">IF(T132=0,0,INDIRECT(ADDRESS(MATCH(W132,Rango!$B$2:$B$101,1)+2,3,1,1,"Rango")))</f>
        <v>7</v>
      </c>
      <c r="Z132" s="4">
        <f>IF(T132=0,0,VLOOKUP(W132-0.01,Rango!$B$2:$B$101,1))</f>
        <v>60</v>
      </c>
      <c r="AA132" s="4">
        <f ca="1">IF(T132=0,0,INDIRECT(ADDRESS(MATCH(W132,Rango!$B$2:$B$101,1)+2,2,1,1,"Rango")))-Z132</f>
        <v>20</v>
      </c>
      <c r="AB132" s="59">
        <f t="shared" ca="1" si="143"/>
        <v>6.9998999999999993</v>
      </c>
      <c r="AC132" s="4">
        <f t="shared" si="144"/>
        <v>1</v>
      </c>
      <c r="AD132" s="63">
        <f t="shared" ca="1" si="145"/>
        <v>6.9998999999999993</v>
      </c>
      <c r="AE132" s="59">
        <f t="shared" ca="1" si="146"/>
        <v>1.2352764705882353</v>
      </c>
      <c r="AF132" s="4" t="s">
        <v>680</v>
      </c>
      <c r="AG132" s="4"/>
      <c r="AH132" s="4"/>
      <c r="AI132" s="4"/>
    </row>
    <row r="133" spans="1:35" x14ac:dyDescent="0.25">
      <c r="A133" s="4"/>
      <c r="B133" s="12" t="s">
        <v>830</v>
      </c>
      <c r="C133" s="4"/>
      <c r="D133" s="4"/>
      <c r="E133" s="12">
        <f t="shared" ref="E133:Q133" si="147">SUM(E127:E132)</f>
        <v>1</v>
      </c>
      <c r="F133" s="12">
        <f t="shared" si="147"/>
        <v>0</v>
      </c>
      <c r="G133" s="12">
        <f t="shared" si="147"/>
        <v>9</v>
      </c>
      <c r="H133" s="12">
        <f t="shared" si="147"/>
        <v>8</v>
      </c>
      <c r="I133" s="12">
        <f t="shared" si="147"/>
        <v>0</v>
      </c>
      <c r="J133" s="12">
        <f t="shared" si="147"/>
        <v>18</v>
      </c>
      <c r="K133" s="12">
        <f t="shared" si="147"/>
        <v>0</v>
      </c>
      <c r="L133" s="12">
        <f t="shared" si="147"/>
        <v>4</v>
      </c>
      <c r="M133" s="12">
        <f t="shared" si="147"/>
        <v>9</v>
      </c>
      <c r="N133" s="12">
        <f t="shared" si="147"/>
        <v>4</v>
      </c>
      <c r="O133" s="12">
        <f t="shared" si="147"/>
        <v>17</v>
      </c>
      <c r="P133" s="60">
        <f t="shared" si="147"/>
        <v>1</v>
      </c>
      <c r="Q133" s="61">
        <f t="shared" si="147"/>
        <v>0.61176470588235299</v>
      </c>
      <c r="R133" s="4"/>
      <c r="S133" s="4">
        <f>SUM(S127:S132)</f>
        <v>30</v>
      </c>
      <c r="T133" s="4"/>
      <c r="U133" s="62"/>
      <c r="V133" s="4"/>
      <c r="W133" s="4"/>
      <c r="X133" s="4"/>
      <c r="Y133" s="4"/>
      <c r="Z133" s="4"/>
      <c r="AA133" s="4"/>
      <c r="AB133" s="59"/>
      <c r="AC133" s="4"/>
      <c r="AD133" s="63"/>
      <c r="AE133" s="68">
        <f ca="1">SUM(AE127:AE132)</f>
        <v>5.11755294117647</v>
      </c>
      <c r="AF133" s="4"/>
      <c r="AG133" s="4"/>
      <c r="AH133" s="4"/>
      <c r="AI133" s="4"/>
    </row>
    <row r="134" spans="1:35" x14ac:dyDescent="0.25">
      <c r="A134" s="4"/>
      <c r="B134" s="4"/>
      <c r="C134" s="4"/>
      <c r="D134" s="4"/>
      <c r="E134" s="4"/>
      <c r="F134" s="4"/>
      <c r="G134" s="4"/>
      <c r="H134" s="4"/>
      <c r="I134" s="4"/>
      <c r="J134" s="4"/>
      <c r="K134" s="4"/>
      <c r="L134" s="4"/>
      <c r="M134" s="4"/>
      <c r="N134" s="4"/>
      <c r="O134" s="4"/>
      <c r="P134" s="34"/>
      <c r="Q134" s="59"/>
      <c r="R134" s="4"/>
      <c r="S134" s="4"/>
      <c r="T134" s="4"/>
      <c r="U134" s="62"/>
      <c r="V134" s="4"/>
      <c r="W134" s="4"/>
      <c r="X134" s="4"/>
      <c r="Y134" s="4"/>
      <c r="Z134" s="4"/>
      <c r="AA134" s="4"/>
      <c r="AB134" s="59"/>
      <c r="AC134" s="4"/>
      <c r="AD134" s="63"/>
      <c r="AE134" s="59"/>
      <c r="AF134" s="4"/>
      <c r="AG134" s="4"/>
      <c r="AH134" s="4"/>
      <c r="AI134" s="4"/>
    </row>
    <row r="135" spans="1:35" x14ac:dyDescent="0.25">
      <c r="A135" s="4"/>
      <c r="B135" s="4" t="str">
        <f>+FormularioFODA!B140</f>
        <v>Proveedores</v>
      </c>
      <c r="C135" s="4" t="s">
        <v>683</v>
      </c>
      <c r="D135" s="4">
        <v>1</v>
      </c>
      <c r="E135" s="4">
        <f>+IF(FormularioFODA!D141="x",1,0)*E$2</f>
        <v>0</v>
      </c>
      <c r="F135" s="4">
        <f>+IF(FormularioFODA!E141="x",1,0)*F$2</f>
        <v>0</v>
      </c>
      <c r="G135" s="4">
        <f>+IF(FormularioFODA!F141="x",1,0)*G$2</f>
        <v>0</v>
      </c>
      <c r="H135" s="4">
        <f>+IF(FormularioFODA!G141="x",1,0)*H$2</f>
        <v>4</v>
      </c>
      <c r="I135" s="4">
        <f>+IF(FormularioFODA!H141="x",1,0)*I$2</f>
        <v>0</v>
      </c>
      <c r="J135" s="4">
        <f>SUM(E135:I135)</f>
        <v>4</v>
      </c>
      <c r="K135" s="4">
        <f>+IF(FormularioFODA!J141="x",1,0)*K$2</f>
        <v>0</v>
      </c>
      <c r="L135" s="4">
        <f>+IF(FormularioFODA!K141="x",1,0)*L$2</f>
        <v>0</v>
      </c>
      <c r="M135" s="4">
        <f>+IF(FormularioFODA!L141="x",1,0)*M$2</f>
        <v>3</v>
      </c>
      <c r="N135" s="4">
        <f>+IF(FormularioFODA!M141="x",1,0)*N$2</f>
        <v>0</v>
      </c>
      <c r="O135" s="4">
        <f>SUM(K135:N135)</f>
        <v>3</v>
      </c>
      <c r="P135" s="34">
        <f>IF($O$139=0,0,O135/$O$139)</f>
        <v>0.21428571428571427</v>
      </c>
      <c r="Q135" s="59">
        <f>+(J135/$I$2)*P135</f>
        <v>0.17142857142857143</v>
      </c>
      <c r="R135" s="4"/>
      <c r="S135" s="4">
        <v>5</v>
      </c>
      <c r="T135" s="4">
        <f>+J135</f>
        <v>4</v>
      </c>
      <c r="U135" s="62">
        <f>+P135</f>
        <v>0.21428571428571427</v>
      </c>
      <c r="V135" s="4">
        <f>IF(ISERROR(T135/S135*100-IF(T135/S135&lt;0,100,0)),0,T135/S135*100-IF(T135/S135&lt;0,100,0))</f>
        <v>80</v>
      </c>
      <c r="W135" s="4">
        <f>ABS(V135)-0.001</f>
        <v>79.998999999999995</v>
      </c>
      <c r="X135" s="4">
        <f ca="1">IF(T135=0,0,INDIRECT(ADDRESS(MATCH(W135,Rango!$B$2:$B$101,1)+1,3,1,1,"Rango")))</f>
        <v>5</v>
      </c>
      <c r="Y135" s="4">
        <f ca="1">IF(T135=0,0,INDIRECT(ADDRESS(MATCH(W135,Rango!$B$2:$B$101,1)+2,3,1,1,"Rango")))</f>
        <v>7</v>
      </c>
      <c r="Z135" s="4">
        <f>IF(T135=0,0,VLOOKUP(W135-0.01,Rango!$B$2:$B$101,1))</f>
        <v>60</v>
      </c>
      <c r="AA135" s="4">
        <f ca="1">IF(T135=0,0,INDIRECT(ADDRESS(MATCH(W135,Rango!$B$2:$B$101,1)+2,2,1,1,"Rango")))-Z135</f>
        <v>20</v>
      </c>
      <c r="AB135" s="59">
        <f ca="1">IF(AND(Y135=0,X135&lt;&gt;0),X135,IF(AA135=0,0,X135+((W135-Z135)*(Y135-X135))/AA135))</f>
        <v>6.9998999999999993</v>
      </c>
      <c r="AC135" s="4">
        <f>IF(V135&gt;0,1)+(IF(V135&lt;0,-1))</f>
        <v>1</v>
      </c>
      <c r="AD135" s="63">
        <f ca="1">AB135*AC135</f>
        <v>6.9998999999999993</v>
      </c>
      <c r="AE135" s="59">
        <f ca="1">AD135*U135</f>
        <v>1.4999785714285712</v>
      </c>
      <c r="AF135" s="4" t="s">
        <v>684</v>
      </c>
      <c r="AG135" s="4"/>
      <c r="AH135" s="4"/>
      <c r="AI135" s="4"/>
    </row>
    <row r="136" spans="1:35" x14ac:dyDescent="0.25">
      <c r="A136" s="4"/>
      <c r="B136" s="4"/>
      <c r="C136" s="4" t="s">
        <v>688</v>
      </c>
      <c r="D136" s="4">
        <v>2</v>
      </c>
      <c r="E136" s="4">
        <f>+IF(FormularioFODA!D142="x",1,0)*E$2</f>
        <v>0</v>
      </c>
      <c r="F136" s="4">
        <f>+IF(FormularioFODA!E142="x",1,0)*F$2</f>
        <v>0</v>
      </c>
      <c r="G136" s="4">
        <f>+IF(FormularioFODA!F142="x",1,0)*G$2</f>
        <v>3</v>
      </c>
      <c r="H136" s="4">
        <f>+IF(FormularioFODA!G142="x",1,0)*H$2</f>
        <v>0</v>
      </c>
      <c r="I136" s="4">
        <f>+IF(FormularioFODA!H142="x",1,0)*I$2</f>
        <v>0</v>
      </c>
      <c r="J136" s="4">
        <f>SUM(E136:I136)</f>
        <v>3</v>
      </c>
      <c r="K136" s="4">
        <f>+IF(FormularioFODA!J142="x",1,0)*K$2</f>
        <v>0</v>
      </c>
      <c r="L136" s="4">
        <f>+IF(FormularioFODA!K142="x",1,0)*L$2</f>
        <v>0</v>
      </c>
      <c r="M136" s="4">
        <f>+IF(FormularioFODA!L142="x",1,0)*M$2</f>
        <v>3</v>
      </c>
      <c r="N136" s="4">
        <f>+IF(FormularioFODA!M142="x",1,0)*N$2</f>
        <v>0</v>
      </c>
      <c r="O136" s="4">
        <f>SUM(K136:N136)</f>
        <v>3</v>
      </c>
      <c r="P136" s="34">
        <f>IF($O$139=0,0,O136/$O$139)</f>
        <v>0.21428571428571427</v>
      </c>
      <c r="Q136" s="59">
        <f>+(J136/$I$2)*P136</f>
        <v>0.12857142857142856</v>
      </c>
      <c r="R136" s="4"/>
      <c r="S136" s="4">
        <v>5</v>
      </c>
      <c r="T136" s="4">
        <f>+J136</f>
        <v>3</v>
      </c>
      <c r="U136" s="62">
        <f>+P136</f>
        <v>0.21428571428571427</v>
      </c>
      <c r="V136" s="4">
        <f>IF(ISERROR(T136/S136*100-IF(T136/S136&lt;0,100,0)),0,T136/S136*100-IF(T136/S136&lt;0,100,0))</f>
        <v>60</v>
      </c>
      <c r="W136" s="4">
        <f>ABS(V136)-0.001</f>
        <v>59.999000000000002</v>
      </c>
      <c r="X136" s="4">
        <f ca="1">IF(T136=0,0,INDIRECT(ADDRESS(MATCH(W136,Rango!$B$2:$B$101,1)+1,3,1,1,"Rango")))</f>
        <v>3</v>
      </c>
      <c r="Y136" s="4">
        <f ca="1">IF(T136=0,0,INDIRECT(ADDRESS(MATCH(W136,Rango!$B$2:$B$101,1)+2,3,1,1,"Rango")))</f>
        <v>5</v>
      </c>
      <c r="Z136" s="4">
        <f>IF(T136=0,0,VLOOKUP(W136-0.01,Rango!$B$2:$B$101,1))</f>
        <v>40</v>
      </c>
      <c r="AA136" s="4">
        <f ca="1">IF(T136=0,0,INDIRECT(ADDRESS(MATCH(W136,Rango!$B$2:$B$101,1)+2,2,1,1,"Rango")))-Z136</f>
        <v>20</v>
      </c>
      <c r="AB136" s="59">
        <f ca="1">IF(AND(Y136=0,X136&lt;&gt;0),X136,IF(AA136=0,0,X136+((W136-Z136)*(Y136-X136))/AA136))</f>
        <v>4.9999000000000002</v>
      </c>
      <c r="AC136" s="4">
        <f>IF(V136&gt;0,1)+(IF(V136&lt;0,-1))</f>
        <v>1</v>
      </c>
      <c r="AD136" s="63">
        <f ca="1">AB136*AC136</f>
        <v>4.9999000000000002</v>
      </c>
      <c r="AE136" s="59">
        <f ca="1">AD136*U136</f>
        <v>1.0714071428571428</v>
      </c>
      <c r="AF136" s="4" t="s">
        <v>689</v>
      </c>
      <c r="AG136" s="4"/>
      <c r="AH136" s="4"/>
      <c r="AI136" s="4"/>
    </row>
    <row r="137" spans="1:35" x14ac:dyDescent="0.25">
      <c r="A137" s="4"/>
      <c r="B137" s="4"/>
      <c r="C137" s="4" t="s">
        <v>692</v>
      </c>
      <c r="D137" s="4">
        <v>3</v>
      </c>
      <c r="E137" s="4">
        <f>+IF(FormularioFODA!D143="x",1,0)*E$2</f>
        <v>0</v>
      </c>
      <c r="F137" s="4">
        <f>+IF(FormularioFODA!E143="x",1,0)*F$2</f>
        <v>0</v>
      </c>
      <c r="G137" s="4">
        <f>+IF(FormularioFODA!F143="x",1,0)*G$2</f>
        <v>3</v>
      </c>
      <c r="H137" s="4">
        <f>+IF(FormularioFODA!G143="x",1,0)*H$2</f>
        <v>0</v>
      </c>
      <c r="I137" s="4">
        <f>+IF(FormularioFODA!H143="x",1,0)*I$2</f>
        <v>0</v>
      </c>
      <c r="J137" s="4">
        <f>SUM(E137:I137)</f>
        <v>3</v>
      </c>
      <c r="K137" s="4">
        <f>+IF(FormularioFODA!J143="x",1,0)*K$2</f>
        <v>0</v>
      </c>
      <c r="L137" s="4">
        <f>+IF(FormularioFODA!K143="x",1,0)*L$2</f>
        <v>0</v>
      </c>
      <c r="M137" s="4">
        <f>+IF(FormularioFODA!L143="x",1,0)*M$2</f>
        <v>0</v>
      </c>
      <c r="N137" s="4">
        <f>+IF(FormularioFODA!M143="x",1,0)*N$2</f>
        <v>4</v>
      </c>
      <c r="O137" s="4">
        <f>SUM(K137:N137)</f>
        <v>4</v>
      </c>
      <c r="P137" s="34">
        <f>IF($O$139=0,0,O137/$O$139)</f>
        <v>0.2857142857142857</v>
      </c>
      <c r="Q137" s="59">
        <f>+(J137/$I$2)*P137</f>
        <v>0.1714285714285714</v>
      </c>
      <c r="R137" s="4"/>
      <c r="S137" s="4">
        <v>5</v>
      </c>
      <c r="T137" s="4">
        <f>+J137</f>
        <v>3</v>
      </c>
      <c r="U137" s="62">
        <f>+P137</f>
        <v>0.2857142857142857</v>
      </c>
      <c r="V137" s="4">
        <f>IF(ISERROR(T137/S137*100-IF(T137/S137&lt;0,100,0)),0,T137/S137*100-IF(T137/S137&lt;0,100,0))</f>
        <v>60</v>
      </c>
      <c r="W137" s="4">
        <f>ABS(V137)-0.001</f>
        <v>59.999000000000002</v>
      </c>
      <c r="X137" s="4">
        <f ca="1">IF(T137=0,0,INDIRECT(ADDRESS(MATCH(W137,Rango!$B$2:$B$101,1)+1,3,1,1,"Rango")))</f>
        <v>3</v>
      </c>
      <c r="Y137" s="4">
        <f ca="1">IF(T137=0,0,INDIRECT(ADDRESS(MATCH(W137,Rango!$B$2:$B$101,1)+2,3,1,1,"Rango")))</f>
        <v>5</v>
      </c>
      <c r="Z137" s="4">
        <f>IF(T137=0,0,VLOOKUP(W137-0.01,Rango!$B$2:$B$101,1))</f>
        <v>40</v>
      </c>
      <c r="AA137" s="4">
        <f ca="1">IF(T137=0,0,INDIRECT(ADDRESS(MATCH(W137,Rango!$B$2:$B$101,1)+2,2,1,1,"Rango")))-Z137</f>
        <v>20</v>
      </c>
      <c r="AB137" s="59">
        <f ca="1">IF(AND(Y137=0,X137&lt;&gt;0),X137,IF(AA137=0,0,X137+((W137-Z137)*(Y137-X137))/AA137))</f>
        <v>4.9999000000000002</v>
      </c>
      <c r="AC137" s="4">
        <f>IF(V137&gt;0,1)+(IF(V137&lt;0,-1))</f>
        <v>1</v>
      </c>
      <c r="AD137" s="63">
        <f ca="1">AB137*AC137</f>
        <v>4.9999000000000002</v>
      </c>
      <c r="AE137" s="59">
        <f ca="1">AD137*U137</f>
        <v>1.4285428571428571</v>
      </c>
      <c r="AF137" s="4" t="s">
        <v>693</v>
      </c>
      <c r="AG137" s="4"/>
      <c r="AH137" s="4"/>
      <c r="AI137" s="4"/>
    </row>
    <row r="138" spans="1:35" x14ac:dyDescent="0.25">
      <c r="A138" s="4"/>
      <c r="B138" s="4"/>
      <c r="C138" s="4" t="s">
        <v>696</v>
      </c>
      <c r="D138" s="4">
        <v>4</v>
      </c>
      <c r="E138" s="4">
        <f>+IF(FormularioFODA!D144="x",1,0)*E$2</f>
        <v>0</v>
      </c>
      <c r="F138" s="4">
        <f>+IF(FormularioFODA!E144="x",1,0)*F$2</f>
        <v>0</v>
      </c>
      <c r="G138" s="4">
        <f>+IF(FormularioFODA!F144="x",1,0)*G$2</f>
        <v>0</v>
      </c>
      <c r="H138" s="4">
        <f>+IF(FormularioFODA!G144="x",1,0)*H$2</f>
        <v>4</v>
      </c>
      <c r="I138" s="4">
        <f>+IF(FormularioFODA!H144="x",1,0)*I$2</f>
        <v>0</v>
      </c>
      <c r="J138" s="4">
        <f>SUM(E138:I138)</f>
        <v>4</v>
      </c>
      <c r="K138" s="4">
        <f>+IF(FormularioFODA!J144="x",1,0)*K$2</f>
        <v>0</v>
      </c>
      <c r="L138" s="4">
        <f>+IF(FormularioFODA!K144="x",1,0)*L$2</f>
        <v>0</v>
      </c>
      <c r="M138" s="4">
        <f>+IF(FormularioFODA!L144="x",1,0)*M$2</f>
        <v>0</v>
      </c>
      <c r="N138" s="4">
        <f>+IF(FormularioFODA!M144="x",1,0)*N$2</f>
        <v>4</v>
      </c>
      <c r="O138" s="4">
        <f>SUM(K138:N138)</f>
        <v>4</v>
      </c>
      <c r="P138" s="34">
        <f>IF($O$139=0,0,O138/$O$139)</f>
        <v>0.2857142857142857</v>
      </c>
      <c r="Q138" s="59">
        <f>+(J138/$I$2)*P138</f>
        <v>0.22857142857142856</v>
      </c>
      <c r="R138" s="4"/>
      <c r="S138" s="4">
        <v>5</v>
      </c>
      <c r="T138" s="4">
        <f>+J138</f>
        <v>4</v>
      </c>
      <c r="U138" s="62">
        <f>+P138</f>
        <v>0.2857142857142857</v>
      </c>
      <c r="V138" s="4">
        <f>IF(ISERROR(T138/S138*100-IF(T138/S138&lt;0,100,0)),0,T138/S138*100-IF(T138/S138&lt;0,100,0))</f>
        <v>80</v>
      </c>
      <c r="W138" s="4">
        <f>ABS(V138)-0.001</f>
        <v>79.998999999999995</v>
      </c>
      <c r="X138" s="4">
        <f ca="1">IF(T138=0,0,INDIRECT(ADDRESS(MATCH(W138,Rango!$B$2:$B$101,1)+1,3,1,1,"Rango")))</f>
        <v>5</v>
      </c>
      <c r="Y138" s="4">
        <f ca="1">IF(T138=0,0,INDIRECT(ADDRESS(MATCH(W138,Rango!$B$2:$B$101,1)+2,3,1,1,"Rango")))</f>
        <v>7</v>
      </c>
      <c r="Z138" s="4">
        <f>IF(T138=0,0,VLOOKUP(W138-0.01,Rango!$B$2:$B$101,1))</f>
        <v>60</v>
      </c>
      <c r="AA138" s="4">
        <f ca="1">IF(T138=0,0,INDIRECT(ADDRESS(MATCH(W138,Rango!$B$2:$B$101,1)+2,2,1,1,"Rango")))-Z138</f>
        <v>20</v>
      </c>
      <c r="AB138" s="59">
        <f ca="1">IF(AND(Y138=0,X138&lt;&gt;0),X138,IF(AA138=0,0,X138+((W138-Z138)*(Y138-X138))/AA138))</f>
        <v>6.9998999999999993</v>
      </c>
      <c r="AC138" s="4">
        <f>IF(V138&gt;0,1)+(IF(V138&lt;0,-1))</f>
        <v>1</v>
      </c>
      <c r="AD138" s="63">
        <f ca="1">AB138*AC138</f>
        <v>6.9998999999999993</v>
      </c>
      <c r="AE138" s="59">
        <f ca="1">AD138*U138</f>
        <v>1.9999714285714283</v>
      </c>
      <c r="AF138" s="4" t="s">
        <v>697</v>
      </c>
      <c r="AG138" s="4"/>
      <c r="AH138" s="4"/>
      <c r="AI138" s="4"/>
    </row>
    <row r="139" spans="1:35" x14ac:dyDescent="0.25">
      <c r="A139" s="4"/>
      <c r="B139" s="12" t="s">
        <v>831</v>
      </c>
      <c r="C139" s="4"/>
      <c r="D139" s="4"/>
      <c r="E139" s="12">
        <f t="shared" ref="E139:Q139" si="148">SUM(E135:E138)</f>
        <v>0</v>
      </c>
      <c r="F139" s="12">
        <f t="shared" si="148"/>
        <v>0</v>
      </c>
      <c r="G139" s="12">
        <f t="shared" si="148"/>
        <v>6</v>
      </c>
      <c r="H139" s="12">
        <f t="shared" si="148"/>
        <v>8</v>
      </c>
      <c r="I139" s="12">
        <f t="shared" si="148"/>
        <v>0</v>
      </c>
      <c r="J139" s="12">
        <f t="shared" si="148"/>
        <v>14</v>
      </c>
      <c r="K139" s="12">
        <f t="shared" si="148"/>
        <v>0</v>
      </c>
      <c r="L139" s="12">
        <f t="shared" si="148"/>
        <v>0</v>
      </c>
      <c r="M139" s="12">
        <f t="shared" si="148"/>
        <v>6</v>
      </c>
      <c r="N139" s="12">
        <f t="shared" si="148"/>
        <v>8</v>
      </c>
      <c r="O139" s="12">
        <f t="shared" si="148"/>
        <v>14</v>
      </c>
      <c r="P139" s="60">
        <f t="shared" si="148"/>
        <v>0.99999999999999989</v>
      </c>
      <c r="Q139" s="61">
        <f t="shared" si="148"/>
        <v>0.7</v>
      </c>
      <c r="R139" s="4"/>
      <c r="S139" s="4">
        <f>SUM(S135:S138)</f>
        <v>20</v>
      </c>
      <c r="T139" s="4"/>
      <c r="U139" s="62"/>
      <c r="V139" s="4"/>
      <c r="W139" s="4"/>
      <c r="X139" s="4"/>
      <c r="Y139" s="4"/>
      <c r="Z139" s="4"/>
      <c r="AA139" s="4"/>
      <c r="AB139" s="59"/>
      <c r="AC139" s="4"/>
      <c r="AD139" s="63"/>
      <c r="AE139" s="68">
        <f ca="1">SUM(AE135:AE138)</f>
        <v>5.9998999999999993</v>
      </c>
      <c r="AF139" s="4"/>
      <c r="AG139" s="4"/>
      <c r="AH139" s="4"/>
      <c r="AI139" s="4"/>
    </row>
    <row r="140" spans="1:35" x14ac:dyDescent="0.25">
      <c r="A140" s="4"/>
      <c r="B140" s="4"/>
      <c r="C140" s="4"/>
      <c r="D140" s="4"/>
      <c r="E140" s="4"/>
      <c r="F140" s="4"/>
      <c r="G140" s="4"/>
      <c r="H140" s="4"/>
      <c r="I140" s="4"/>
      <c r="J140" s="4"/>
      <c r="K140" s="4"/>
      <c r="L140" s="4"/>
      <c r="M140" s="4"/>
      <c r="N140" s="4"/>
      <c r="O140" s="4"/>
      <c r="P140" s="34"/>
      <c r="Q140" s="59"/>
      <c r="R140" s="4"/>
      <c r="S140" s="4"/>
      <c r="T140" s="4"/>
      <c r="U140" s="62"/>
      <c r="V140" s="4"/>
      <c r="W140" s="4"/>
      <c r="X140" s="4"/>
      <c r="Y140" s="4"/>
      <c r="Z140" s="4"/>
      <c r="AA140" s="4"/>
      <c r="AB140" s="59"/>
      <c r="AC140" s="4"/>
      <c r="AD140" s="63"/>
      <c r="AE140" s="59"/>
      <c r="AF140" s="4"/>
      <c r="AG140" s="4"/>
      <c r="AH140" s="4"/>
      <c r="AI140" s="4"/>
    </row>
    <row r="141" spans="1:35" x14ac:dyDescent="0.25">
      <c r="A141" s="4"/>
      <c r="B141" s="4" t="str">
        <f>+FormularioFODA!B146</f>
        <v>Sustitutos de los Productos Ofrecidos</v>
      </c>
      <c r="C141" s="4" t="s">
        <v>700</v>
      </c>
      <c r="D141" s="4">
        <v>1</v>
      </c>
      <c r="E141" s="4">
        <f>+IF(FormularioFODA!D147="x",1,0)*E$2</f>
        <v>0</v>
      </c>
      <c r="F141" s="4">
        <f>+IF(FormularioFODA!E147="x",1,0)*F$2</f>
        <v>0</v>
      </c>
      <c r="G141" s="4">
        <f>+IF(FormularioFODA!F147="x",1,0)*G$2</f>
        <v>0</v>
      </c>
      <c r="H141" s="4">
        <f>+IF(FormularioFODA!G147="x",1,0)*H$2</f>
        <v>0</v>
      </c>
      <c r="I141" s="4">
        <f>+IF(FormularioFODA!H147="x",1,0)*I$2</f>
        <v>5</v>
      </c>
      <c r="J141" s="4">
        <f>SUM(E141:I141)</f>
        <v>5</v>
      </c>
      <c r="K141" s="4">
        <f>+IF(FormularioFODA!J147="x",1,0)*K$2</f>
        <v>0</v>
      </c>
      <c r="L141" s="4">
        <f>+IF(FormularioFODA!K147="x",1,0)*L$2</f>
        <v>0</v>
      </c>
      <c r="M141" s="4">
        <f>+IF(FormularioFODA!L147="x",1,0)*M$2</f>
        <v>3</v>
      </c>
      <c r="N141" s="4">
        <f>+IF(FormularioFODA!M147="x",1,0)*N$2</f>
        <v>0</v>
      </c>
      <c r="O141" s="4">
        <f>SUM(K141:N141)</f>
        <v>3</v>
      </c>
      <c r="P141" s="34">
        <f>IF($O$143=0,0,O141/$O$143)</f>
        <v>0.42857142857142855</v>
      </c>
      <c r="Q141" s="59">
        <f>+(J141/$I$2)*P141</f>
        <v>0.42857142857142855</v>
      </c>
      <c r="R141" s="4"/>
      <c r="S141" s="4">
        <v>5</v>
      </c>
      <c r="T141" s="4">
        <f>+J141</f>
        <v>5</v>
      </c>
      <c r="U141" s="62">
        <f>+P141</f>
        <v>0.42857142857142855</v>
      </c>
      <c r="V141" s="4">
        <f>IF(ISERROR(T141/S141*100-IF(T141/S141&lt;0,100,0)),0,T141/S141*100-IF(T141/S141&lt;0,100,0))</f>
        <v>100</v>
      </c>
      <c r="W141" s="4">
        <f>ABS(V141)-0.001</f>
        <v>99.998999999999995</v>
      </c>
      <c r="X141" s="4">
        <f ca="1">IF(T141=0,0,INDIRECT(ADDRESS(MATCH(W141,Rango!$B$2:$B$101,1)+1,3,1,1,"Rango")))</f>
        <v>7</v>
      </c>
      <c r="Y141" s="4">
        <f ca="1">IF(T141=0,0,INDIRECT(ADDRESS(MATCH(W141,Rango!$B$2:$B$101,1)+2,3,1,1,"Rango")))</f>
        <v>10</v>
      </c>
      <c r="Z141" s="4">
        <f>IF(T141=0,0,VLOOKUP(W141-0.01,Rango!$B$2:$B$101,1))</f>
        <v>80</v>
      </c>
      <c r="AA141" s="4">
        <f ca="1">IF(T141=0,0,INDIRECT(ADDRESS(MATCH(W141,Rango!$B$2:$B$101,1)+2,2,1,1,"Rango")))-Z141</f>
        <v>20</v>
      </c>
      <c r="AB141" s="59">
        <f ca="1">IF(AND(Y141=0,X141&lt;&gt;0),X141,IF(AA141=0,0,X141+((W141-Z141)*(Y141-X141))/AA141))</f>
        <v>9.9998499999999986</v>
      </c>
      <c r="AC141" s="4">
        <f>IF(V141&gt;0,1)+(IF(V141&lt;0,-1))</f>
        <v>1</v>
      </c>
      <c r="AD141" s="63">
        <f ca="1">AB141*AC141</f>
        <v>9.9998499999999986</v>
      </c>
      <c r="AE141" s="59">
        <f ca="1">AD141*U141</f>
        <v>4.2856499999999995</v>
      </c>
      <c r="AF141" s="4" t="s">
        <v>701</v>
      </c>
      <c r="AG141" s="4"/>
      <c r="AH141" s="4"/>
      <c r="AI141" s="4"/>
    </row>
    <row r="142" spans="1:35" x14ac:dyDescent="0.25">
      <c r="A142" s="4"/>
      <c r="B142" s="4"/>
      <c r="C142" s="4" t="s">
        <v>705</v>
      </c>
      <c r="D142" s="4">
        <v>2</v>
      </c>
      <c r="E142" s="4">
        <f>+IF(FormularioFODA!D148="x",1,0)*E$2</f>
        <v>0</v>
      </c>
      <c r="F142" s="4">
        <f>+IF(FormularioFODA!E148="x",1,0)*F$2</f>
        <v>2</v>
      </c>
      <c r="G142" s="4">
        <f>+IF(FormularioFODA!F148="x",1,0)*G$2</f>
        <v>0</v>
      </c>
      <c r="H142" s="4">
        <f>+IF(FormularioFODA!G148="x",1,0)*H$2</f>
        <v>0</v>
      </c>
      <c r="I142" s="4">
        <f>+IF(FormularioFODA!H148="x",1,0)*I$2</f>
        <v>0</v>
      </c>
      <c r="J142" s="4">
        <f>SUM(E142:I142)</f>
        <v>2</v>
      </c>
      <c r="K142" s="4">
        <f>+IF(FormularioFODA!J148="x",1,0)*K$2</f>
        <v>0</v>
      </c>
      <c r="L142" s="4">
        <f>+IF(FormularioFODA!K148="x",1,0)*L$2</f>
        <v>0</v>
      </c>
      <c r="M142" s="4">
        <f>+IF(FormularioFODA!L148="x",1,0)*M$2</f>
        <v>0</v>
      </c>
      <c r="N142" s="4">
        <f>+IF(FormularioFODA!M148="x",1,0)*N$2</f>
        <v>4</v>
      </c>
      <c r="O142" s="4">
        <f>SUM(K142:N142)</f>
        <v>4</v>
      </c>
      <c r="P142" s="34">
        <f>IF($O$143=0,0,O142/$O$143)</f>
        <v>0.5714285714285714</v>
      </c>
      <c r="Q142" s="59">
        <f>+(J142/$I$2)*P142</f>
        <v>0.22857142857142856</v>
      </c>
      <c r="R142" s="4"/>
      <c r="S142" s="4">
        <v>5</v>
      </c>
      <c r="T142" s="4">
        <f>+J142</f>
        <v>2</v>
      </c>
      <c r="U142" s="62">
        <f>+P142</f>
        <v>0.5714285714285714</v>
      </c>
      <c r="V142" s="4">
        <f>IF(ISERROR(T142/S142*100-IF(T142/S142&lt;0,100,0)),0,T142/S142*100-IF(T142/S142&lt;0,100,0))</f>
        <v>40</v>
      </c>
      <c r="W142" s="4">
        <f>ABS(V142)-0.001</f>
        <v>39.999000000000002</v>
      </c>
      <c r="X142" s="4">
        <f ca="1">IF(T142=0,0,INDIRECT(ADDRESS(MATCH(W142,Rango!$B$2:$B$101,1)+1,3,1,1,"Rango")))</f>
        <v>1</v>
      </c>
      <c r="Y142" s="4">
        <f ca="1">IF(T142=0,0,INDIRECT(ADDRESS(MATCH(W142,Rango!$B$2:$B$101,1)+2,3,1,1,"Rango")))</f>
        <v>3</v>
      </c>
      <c r="Z142" s="4">
        <f>IF(T142=0,0,VLOOKUP(W142-0.01,Rango!$B$2:$B$101,1))</f>
        <v>20</v>
      </c>
      <c r="AA142" s="4">
        <f ca="1">IF(T142=0,0,INDIRECT(ADDRESS(MATCH(W142,Rango!$B$2:$B$101,1)+2,2,1,1,"Rango")))-Z142</f>
        <v>20</v>
      </c>
      <c r="AB142" s="59">
        <f ca="1">IF(AND(Y142=0,X142&lt;&gt;0),X142,IF(AA142=0,0,X142+((W142-Z142)*(Y142-X142))/AA142))</f>
        <v>2.9999000000000002</v>
      </c>
      <c r="AC142" s="4">
        <f>IF(V142&gt;0,1)+(IF(V142&lt;0,-1))</f>
        <v>1</v>
      </c>
      <c r="AD142" s="63">
        <f ca="1">AB142*AC142</f>
        <v>2.9999000000000002</v>
      </c>
      <c r="AE142" s="59">
        <f ca="1">AD142*U142</f>
        <v>1.7142285714285714</v>
      </c>
      <c r="AF142" s="4" t="s">
        <v>706</v>
      </c>
      <c r="AG142" s="4"/>
      <c r="AH142" s="4"/>
      <c r="AI142" s="4"/>
    </row>
    <row r="143" spans="1:35" x14ac:dyDescent="0.25">
      <c r="A143" s="4"/>
      <c r="B143" s="12" t="s">
        <v>832</v>
      </c>
      <c r="C143" s="4"/>
      <c r="D143" s="4"/>
      <c r="E143" s="12">
        <f t="shared" ref="E143:Q143" si="149">SUM(E141:E142)</f>
        <v>0</v>
      </c>
      <c r="F143" s="12">
        <f t="shared" si="149"/>
        <v>2</v>
      </c>
      <c r="G143" s="12">
        <f t="shared" si="149"/>
        <v>0</v>
      </c>
      <c r="H143" s="12">
        <f t="shared" si="149"/>
        <v>0</v>
      </c>
      <c r="I143" s="12">
        <f t="shared" si="149"/>
        <v>5</v>
      </c>
      <c r="J143" s="12">
        <f t="shared" si="149"/>
        <v>7</v>
      </c>
      <c r="K143" s="12">
        <f t="shared" si="149"/>
        <v>0</v>
      </c>
      <c r="L143" s="12">
        <f t="shared" si="149"/>
        <v>0</v>
      </c>
      <c r="M143" s="12">
        <f t="shared" si="149"/>
        <v>3</v>
      </c>
      <c r="N143" s="12">
        <f t="shared" si="149"/>
        <v>4</v>
      </c>
      <c r="O143" s="12">
        <f t="shared" si="149"/>
        <v>7</v>
      </c>
      <c r="P143" s="60">
        <f t="shared" si="149"/>
        <v>1</v>
      </c>
      <c r="Q143" s="61">
        <f t="shared" si="149"/>
        <v>0.65714285714285714</v>
      </c>
      <c r="R143" s="4"/>
      <c r="S143" s="4">
        <f>SUM(S141:S142)</f>
        <v>10</v>
      </c>
      <c r="T143" s="4"/>
      <c r="U143" s="62"/>
      <c r="V143" s="4"/>
      <c r="W143" s="4"/>
      <c r="X143" s="4"/>
      <c r="Y143" s="4"/>
      <c r="Z143" s="4"/>
      <c r="AA143" s="4"/>
      <c r="AB143" s="59"/>
      <c r="AC143" s="4"/>
      <c r="AD143" s="63"/>
      <c r="AE143" s="68">
        <f ca="1">SUM(AE141:AE142)</f>
        <v>5.999878571428571</v>
      </c>
      <c r="AF143" s="4"/>
      <c r="AG143" s="4"/>
      <c r="AH143" s="4"/>
      <c r="AI143" s="4"/>
    </row>
    <row r="144" spans="1:35" x14ac:dyDescent="0.25">
      <c r="A144" s="4"/>
      <c r="B144" s="4"/>
      <c r="C144" s="4"/>
      <c r="D144" s="4"/>
      <c r="E144" s="4"/>
      <c r="F144" s="4"/>
      <c r="G144" s="4"/>
      <c r="H144" s="4"/>
      <c r="I144" s="4"/>
      <c r="J144" s="4"/>
      <c r="K144" s="4"/>
      <c r="L144" s="4"/>
      <c r="M144" s="4"/>
      <c r="N144" s="4"/>
      <c r="O144" s="4"/>
      <c r="P144" s="34"/>
      <c r="Q144" s="59"/>
      <c r="R144" s="4"/>
      <c r="S144" s="4"/>
      <c r="T144" s="4"/>
      <c r="U144" s="62"/>
      <c r="V144" s="4"/>
      <c r="W144" s="4"/>
      <c r="X144" s="4"/>
      <c r="Y144" s="4"/>
      <c r="Z144" s="4"/>
      <c r="AA144" s="4"/>
      <c r="AB144" s="59"/>
      <c r="AC144" s="4"/>
      <c r="AD144" s="63"/>
      <c r="AE144" s="59"/>
      <c r="AF144" s="4"/>
      <c r="AG144" s="4"/>
      <c r="AH144" s="4"/>
      <c r="AI144" s="4"/>
    </row>
    <row r="145" spans="1:35" x14ac:dyDescent="0.25">
      <c r="A145" s="4"/>
      <c r="B145" s="4" t="str">
        <f>+FormularioFODA!B150</f>
        <v>Ámbito Ambiental, Sanitario y Climático</v>
      </c>
      <c r="C145" s="4" t="s">
        <v>709</v>
      </c>
      <c r="D145" s="4">
        <v>1</v>
      </c>
      <c r="E145" s="4">
        <f>+IF(FormularioFODA!D151="x",1,0)*E$2</f>
        <v>0</v>
      </c>
      <c r="F145" s="4">
        <f>+IF(FormularioFODA!E151="x",1,0)*F$2</f>
        <v>0</v>
      </c>
      <c r="G145" s="4">
        <f>+IF(FormularioFODA!F151="x",1,0)*G$2</f>
        <v>0</v>
      </c>
      <c r="H145" s="4">
        <f>+IF(FormularioFODA!G151="x",1,0)*H$2</f>
        <v>4</v>
      </c>
      <c r="I145" s="4">
        <f>+IF(FormularioFODA!H151="x",1,0)*I$2</f>
        <v>0</v>
      </c>
      <c r="J145" s="4">
        <f>SUM(E145:I145)</f>
        <v>4</v>
      </c>
      <c r="K145" s="4">
        <f>+IF(FormularioFODA!J151="x",1,0)*K$2</f>
        <v>0</v>
      </c>
      <c r="L145" s="4">
        <f>+IF(FormularioFODA!K151="x",1,0)*L$2</f>
        <v>0</v>
      </c>
      <c r="M145" s="4">
        <f>+IF(FormularioFODA!L151="x",1,0)*M$2</f>
        <v>3</v>
      </c>
      <c r="N145" s="4">
        <f>+IF(FormularioFODA!M151="x",1,0)*N$2</f>
        <v>0</v>
      </c>
      <c r="O145" s="4">
        <f>SUM(K145:N145)</f>
        <v>3</v>
      </c>
      <c r="P145" s="34">
        <f>IF($O$149=0,0,O145/$O$149)</f>
        <v>0.21428571428571427</v>
      </c>
      <c r="Q145" s="59">
        <f>+(J145/$I$2)*P145</f>
        <v>0.17142857142857143</v>
      </c>
      <c r="R145" s="4"/>
      <c r="S145" s="4">
        <v>5</v>
      </c>
      <c r="T145" s="4">
        <f>+J145</f>
        <v>4</v>
      </c>
      <c r="U145" s="62">
        <f>+P145</f>
        <v>0.21428571428571427</v>
      </c>
      <c r="V145" s="4">
        <f>IF(ISERROR(T145/S145*100-IF(T145/S145&lt;0,100,0)),0,T145/S145*100-IF(T145/S145&lt;0,100,0))</f>
        <v>80</v>
      </c>
      <c r="W145" s="4">
        <f>ABS(V145)-0.001</f>
        <v>79.998999999999995</v>
      </c>
      <c r="X145" s="4">
        <f ca="1">IF(T145=0,0,INDIRECT(ADDRESS(MATCH(W145,Rango!$B$2:$B$101,1)+1,3,1,1,"Rango")))</f>
        <v>5</v>
      </c>
      <c r="Y145" s="4">
        <f ca="1">IF(T145=0,0,INDIRECT(ADDRESS(MATCH(W145,Rango!$B$2:$B$101,1)+2,3,1,1,"Rango")))</f>
        <v>7</v>
      </c>
      <c r="Z145" s="4">
        <f>IF(T145=0,0,VLOOKUP(W145-0.01,Rango!$B$2:$B$101,1))</f>
        <v>60</v>
      </c>
      <c r="AA145" s="4">
        <f ca="1">IF(T145=0,0,INDIRECT(ADDRESS(MATCH(W145,Rango!$B$2:$B$101,1)+2,2,1,1,"Rango")))-Z145</f>
        <v>20</v>
      </c>
      <c r="AB145" s="59">
        <f ca="1">IF(AND(Y145=0,X145&lt;&gt;0),X145,IF(AA145=0,0,X145+((W145-Z145)*(Y145-X145))/AA145))</f>
        <v>6.9998999999999993</v>
      </c>
      <c r="AC145" s="4">
        <f>IF(V145&gt;0,1)+(IF(V145&lt;0,-1))</f>
        <v>1</v>
      </c>
      <c r="AD145" s="63">
        <f ca="1">AB145*AC145</f>
        <v>6.9998999999999993</v>
      </c>
      <c r="AE145" s="59">
        <f ca="1">AD145*U145</f>
        <v>1.4999785714285712</v>
      </c>
      <c r="AF145" s="4" t="s">
        <v>710</v>
      </c>
      <c r="AG145" s="4"/>
      <c r="AH145" s="4"/>
      <c r="AI145" s="4"/>
    </row>
    <row r="146" spans="1:35" x14ac:dyDescent="0.25">
      <c r="A146" s="4"/>
      <c r="B146" s="4"/>
      <c r="C146" s="4" t="s">
        <v>714</v>
      </c>
      <c r="D146" s="4">
        <v>2</v>
      </c>
      <c r="E146" s="4">
        <f>+IF(FormularioFODA!D152="x",1,0)*E$2</f>
        <v>0</v>
      </c>
      <c r="F146" s="4">
        <f>+IF(FormularioFODA!E152="x",1,0)*F$2</f>
        <v>2</v>
      </c>
      <c r="G146" s="4">
        <f>+IF(FormularioFODA!F152="x",1,0)*G$2</f>
        <v>0</v>
      </c>
      <c r="H146" s="4">
        <f>+IF(FormularioFODA!G152="x",1,0)*H$2</f>
        <v>0</v>
      </c>
      <c r="I146" s="4">
        <f>+IF(FormularioFODA!H152="x",1,0)*I$2</f>
        <v>0</v>
      </c>
      <c r="J146" s="4">
        <f>SUM(E146:I146)</f>
        <v>2</v>
      </c>
      <c r="K146" s="4">
        <f>+IF(FormularioFODA!J152="x",1,0)*K$2</f>
        <v>0</v>
      </c>
      <c r="L146" s="4">
        <f>+IF(FormularioFODA!K152="x",1,0)*L$2</f>
        <v>0</v>
      </c>
      <c r="M146" s="4">
        <f>+IF(FormularioFODA!L152="x",1,0)*M$2</f>
        <v>0</v>
      </c>
      <c r="N146" s="4">
        <f>+IF(FormularioFODA!M152="x",1,0)*N$2</f>
        <v>4</v>
      </c>
      <c r="O146" s="4">
        <f>SUM(K146:N146)</f>
        <v>4</v>
      </c>
      <c r="P146" s="34">
        <f>IF($O$149=0,0,O146/$O$149)</f>
        <v>0.2857142857142857</v>
      </c>
      <c r="Q146" s="59">
        <f>+(J146/$I$2)*P146</f>
        <v>0.11428571428571428</v>
      </c>
      <c r="R146" s="4"/>
      <c r="S146" s="4">
        <v>5</v>
      </c>
      <c r="T146" s="4">
        <f>+J146</f>
        <v>2</v>
      </c>
      <c r="U146" s="62">
        <f>+P146</f>
        <v>0.2857142857142857</v>
      </c>
      <c r="V146" s="4">
        <f>IF(ISERROR(T146/S146*100-IF(T146/S146&lt;0,100,0)),0,T146/S146*100-IF(T146/S146&lt;0,100,0))</f>
        <v>40</v>
      </c>
      <c r="W146" s="4">
        <f>ABS(V146)-0.001</f>
        <v>39.999000000000002</v>
      </c>
      <c r="X146" s="4">
        <f ca="1">IF(T146=0,0,INDIRECT(ADDRESS(MATCH(W146,Rango!$B$2:$B$101,1)+1,3,1,1,"Rango")))</f>
        <v>1</v>
      </c>
      <c r="Y146" s="4">
        <f ca="1">IF(T146=0,0,INDIRECT(ADDRESS(MATCH(W146,Rango!$B$2:$B$101,1)+2,3,1,1,"Rango")))</f>
        <v>3</v>
      </c>
      <c r="Z146" s="4">
        <f>IF(T146=0,0,VLOOKUP(W146-0.01,Rango!$B$2:$B$101,1))</f>
        <v>20</v>
      </c>
      <c r="AA146" s="4">
        <f ca="1">IF(T146=0,0,INDIRECT(ADDRESS(MATCH(W146,Rango!$B$2:$B$101,1)+2,2,1,1,"Rango")))-Z146</f>
        <v>20</v>
      </c>
      <c r="AB146" s="59">
        <f ca="1">IF(AND(Y146=0,X146&lt;&gt;0),X146,IF(AA146=0,0,X146+((W146-Z146)*(Y146-X146))/AA146))</f>
        <v>2.9999000000000002</v>
      </c>
      <c r="AC146" s="4">
        <f>IF(V146&gt;0,1)+(IF(V146&lt;0,-1))</f>
        <v>1</v>
      </c>
      <c r="AD146" s="63">
        <f ca="1">AB146*AC146</f>
        <v>2.9999000000000002</v>
      </c>
      <c r="AE146" s="59">
        <f ca="1">AD146*U146</f>
        <v>0.85711428571428572</v>
      </c>
      <c r="AF146" s="4" t="s">
        <v>715</v>
      </c>
      <c r="AG146" s="4"/>
      <c r="AH146" s="4"/>
      <c r="AI146" s="4"/>
    </row>
    <row r="147" spans="1:35" x14ac:dyDescent="0.25">
      <c r="A147" s="4"/>
      <c r="B147" s="4"/>
      <c r="C147" s="4" t="s">
        <v>718</v>
      </c>
      <c r="D147" s="4">
        <v>3</v>
      </c>
      <c r="E147" s="4">
        <f>+IF(FormularioFODA!D153="x",1,0)*E$2</f>
        <v>0</v>
      </c>
      <c r="F147" s="4">
        <f>+IF(FormularioFODA!E153="x",1,0)*F$2</f>
        <v>0</v>
      </c>
      <c r="G147" s="4">
        <f>+IF(FormularioFODA!F153="x",1,0)*G$2</f>
        <v>0</v>
      </c>
      <c r="H147" s="4">
        <f>+IF(FormularioFODA!G153="x",1,0)*H$2</f>
        <v>4</v>
      </c>
      <c r="I147" s="4">
        <f>+IF(FormularioFODA!H153="x",1,0)*I$2</f>
        <v>0</v>
      </c>
      <c r="J147" s="4">
        <f>SUM(E147:I147)</f>
        <v>4</v>
      </c>
      <c r="K147" s="4">
        <f>+IF(FormularioFODA!J153="x",1,0)*K$2</f>
        <v>0</v>
      </c>
      <c r="L147" s="4">
        <f>+IF(FormularioFODA!K153="x",1,0)*L$2</f>
        <v>0</v>
      </c>
      <c r="M147" s="4">
        <f>+IF(FormularioFODA!L153="x",1,0)*M$2</f>
        <v>0</v>
      </c>
      <c r="N147" s="4">
        <f>+IF(FormularioFODA!M153="x",1,0)*N$2</f>
        <v>4</v>
      </c>
      <c r="O147" s="4">
        <f>SUM(K147:N147)</f>
        <v>4</v>
      </c>
      <c r="P147" s="34">
        <f>IF($O$149=0,0,O147/$O$149)</f>
        <v>0.2857142857142857</v>
      </c>
      <c r="Q147" s="59">
        <f>+(J147/$I$2)*P147</f>
        <v>0.22857142857142856</v>
      </c>
      <c r="R147" s="4"/>
      <c r="S147" s="4">
        <v>5</v>
      </c>
      <c r="T147" s="4">
        <f>+J147</f>
        <v>4</v>
      </c>
      <c r="U147" s="62">
        <f>+P147</f>
        <v>0.2857142857142857</v>
      </c>
      <c r="V147" s="4">
        <f>IF(ISERROR(T147/S147*100-IF(T147/S147&lt;0,100,0)),0,T147/S147*100-IF(T147/S147&lt;0,100,0))</f>
        <v>80</v>
      </c>
      <c r="W147" s="4">
        <f>ABS(V147)-0.001</f>
        <v>79.998999999999995</v>
      </c>
      <c r="X147" s="4">
        <f ca="1">IF(T147=0,0,INDIRECT(ADDRESS(MATCH(W147,Rango!$B$2:$B$101,1)+1,3,1,1,"Rango")))</f>
        <v>5</v>
      </c>
      <c r="Y147" s="4">
        <f ca="1">IF(T147=0,0,INDIRECT(ADDRESS(MATCH(W147,Rango!$B$2:$B$101,1)+2,3,1,1,"Rango")))</f>
        <v>7</v>
      </c>
      <c r="Z147" s="4">
        <f>IF(T147=0,0,VLOOKUP(W147-0.01,Rango!$B$2:$B$101,1))</f>
        <v>60</v>
      </c>
      <c r="AA147" s="4">
        <f ca="1">IF(T147=0,0,INDIRECT(ADDRESS(MATCH(W147,Rango!$B$2:$B$101,1)+2,2,1,1,"Rango")))-Z147</f>
        <v>20</v>
      </c>
      <c r="AB147" s="59">
        <f ca="1">IF(AND(Y147=0,X147&lt;&gt;0),X147,IF(AA147=0,0,X147+((W147-Z147)*(Y147-X147))/AA147))</f>
        <v>6.9998999999999993</v>
      </c>
      <c r="AC147" s="4">
        <f>IF(V147&gt;0,1)+(IF(V147&lt;0,-1))</f>
        <v>1</v>
      </c>
      <c r="AD147" s="63">
        <f ca="1">AB147*AC147</f>
        <v>6.9998999999999993</v>
      </c>
      <c r="AE147" s="59">
        <f ca="1">AD147*U147</f>
        <v>1.9999714285714283</v>
      </c>
      <c r="AF147" s="4" t="s">
        <v>719</v>
      </c>
      <c r="AG147" s="4"/>
      <c r="AH147" s="4"/>
      <c r="AI147" s="4"/>
    </row>
    <row r="148" spans="1:35" x14ac:dyDescent="0.25">
      <c r="A148" s="4"/>
      <c r="B148" s="4"/>
      <c r="C148" s="4" t="s">
        <v>722</v>
      </c>
      <c r="D148" s="4">
        <v>4</v>
      </c>
      <c r="E148" s="4">
        <f>+IF(FormularioFODA!D154="x",1,0)*E$2</f>
        <v>0</v>
      </c>
      <c r="F148" s="4">
        <f>+IF(FormularioFODA!E154="x",1,0)*F$2</f>
        <v>2</v>
      </c>
      <c r="G148" s="4">
        <f>+IF(FormularioFODA!F154="x",1,0)*G$2</f>
        <v>0</v>
      </c>
      <c r="H148" s="4">
        <f>+IF(FormularioFODA!G154="x",1,0)*H$2</f>
        <v>0</v>
      </c>
      <c r="I148" s="4">
        <f>+IF(FormularioFODA!H154="x",1,0)*I$2</f>
        <v>0</v>
      </c>
      <c r="J148" s="4">
        <f>SUM(E148:I148)</f>
        <v>2</v>
      </c>
      <c r="K148" s="4">
        <f>+IF(FormularioFODA!J154="x",1,0)*K$2</f>
        <v>0</v>
      </c>
      <c r="L148" s="4">
        <f>+IF(FormularioFODA!K154="x",1,0)*L$2</f>
        <v>0</v>
      </c>
      <c r="M148" s="4">
        <f>+IF(FormularioFODA!L154="x",1,0)*M$2</f>
        <v>3</v>
      </c>
      <c r="N148" s="4">
        <f>+IF(FormularioFODA!M154="x",1,0)*N$2</f>
        <v>0</v>
      </c>
      <c r="O148" s="4">
        <f>SUM(K148:N148)</f>
        <v>3</v>
      </c>
      <c r="P148" s="34">
        <f>IF($O$149=0,0,O148/$O$149)</f>
        <v>0.21428571428571427</v>
      </c>
      <c r="Q148" s="59">
        <f>+(J148/$I$2)*P148</f>
        <v>8.5714285714285715E-2</v>
      </c>
      <c r="R148" s="4"/>
      <c r="S148" s="4">
        <v>5</v>
      </c>
      <c r="T148" s="4">
        <f>+J148</f>
        <v>2</v>
      </c>
      <c r="U148" s="62">
        <f>+P148</f>
        <v>0.21428571428571427</v>
      </c>
      <c r="V148" s="4">
        <f>IF(ISERROR(T148/S148*100-IF(T148/S148&lt;0,100,0)),0,T148/S148*100-IF(T148/S148&lt;0,100,0))</f>
        <v>40</v>
      </c>
      <c r="W148" s="4">
        <f>ABS(V148)-0.001</f>
        <v>39.999000000000002</v>
      </c>
      <c r="X148" s="4">
        <f ca="1">IF(T148=0,0,INDIRECT(ADDRESS(MATCH(W148,Rango!$B$2:$B$101,1)+1,3,1,1,"Rango")))</f>
        <v>1</v>
      </c>
      <c r="Y148" s="4">
        <f ca="1">IF(T148=0,0,INDIRECT(ADDRESS(MATCH(W148,Rango!$B$2:$B$101,1)+2,3,1,1,"Rango")))</f>
        <v>3</v>
      </c>
      <c r="Z148" s="4">
        <f>IF(T148=0,0,VLOOKUP(W148-0.01,Rango!$B$2:$B$101,1))</f>
        <v>20</v>
      </c>
      <c r="AA148" s="4">
        <f ca="1">IF(T148=0,0,INDIRECT(ADDRESS(MATCH(W148,Rango!$B$2:$B$101,1)+2,2,1,1,"Rango")))-Z148</f>
        <v>20</v>
      </c>
      <c r="AB148" s="59">
        <f ca="1">IF(AND(Y148=0,X148&lt;&gt;0),X148,IF(AA148=0,0,X148+((W148-Z148)*(Y148-X148))/AA148))</f>
        <v>2.9999000000000002</v>
      </c>
      <c r="AC148" s="4">
        <f>IF(V148&gt;0,1)+(IF(V148&lt;0,-1))</f>
        <v>1</v>
      </c>
      <c r="AD148" s="63">
        <f ca="1">AB148*AC148</f>
        <v>2.9999000000000002</v>
      </c>
      <c r="AE148" s="59">
        <f ca="1">AD148*U148</f>
        <v>0.64283571428571429</v>
      </c>
      <c r="AF148" s="4" t="s">
        <v>723</v>
      </c>
      <c r="AG148" s="4"/>
      <c r="AH148" s="4"/>
      <c r="AI148" s="4"/>
    </row>
    <row r="149" spans="1:35" x14ac:dyDescent="0.25">
      <c r="A149" s="4"/>
      <c r="B149" s="12" t="s">
        <v>833</v>
      </c>
      <c r="C149" s="4"/>
      <c r="D149" s="4"/>
      <c r="E149" s="12">
        <f t="shared" ref="E149:Q149" si="150">SUM(E145:E148)</f>
        <v>0</v>
      </c>
      <c r="F149" s="12">
        <f t="shared" si="150"/>
        <v>4</v>
      </c>
      <c r="G149" s="12">
        <f t="shared" si="150"/>
        <v>0</v>
      </c>
      <c r="H149" s="12">
        <f t="shared" si="150"/>
        <v>8</v>
      </c>
      <c r="I149" s="12">
        <f t="shared" si="150"/>
        <v>0</v>
      </c>
      <c r="J149" s="12">
        <f t="shared" si="150"/>
        <v>12</v>
      </c>
      <c r="K149" s="12">
        <f t="shared" si="150"/>
        <v>0</v>
      </c>
      <c r="L149" s="12">
        <f t="shared" si="150"/>
        <v>0</v>
      </c>
      <c r="M149" s="12">
        <f t="shared" si="150"/>
        <v>6</v>
      </c>
      <c r="N149" s="12">
        <f t="shared" si="150"/>
        <v>8</v>
      </c>
      <c r="O149" s="12">
        <f t="shared" si="150"/>
        <v>14</v>
      </c>
      <c r="P149" s="60">
        <f t="shared" si="150"/>
        <v>1</v>
      </c>
      <c r="Q149" s="61">
        <f t="shared" si="150"/>
        <v>0.6</v>
      </c>
      <c r="R149" s="4"/>
      <c r="S149" s="4">
        <f>SUM(S145:S148)</f>
        <v>20</v>
      </c>
      <c r="T149" s="4"/>
      <c r="U149" s="62"/>
      <c r="V149" s="4"/>
      <c r="W149" s="4"/>
      <c r="X149" s="4"/>
      <c r="Y149" s="4"/>
      <c r="Z149" s="4"/>
      <c r="AA149" s="4"/>
      <c r="AB149" s="59"/>
      <c r="AC149" s="4"/>
      <c r="AD149" s="63"/>
      <c r="AE149" s="68">
        <f ca="1">SUM(AE145:AE148)</f>
        <v>4.9998999999999993</v>
      </c>
      <c r="AF149" s="4"/>
      <c r="AG149" s="4"/>
      <c r="AH149" s="4"/>
      <c r="AI149" s="4"/>
    </row>
  </sheetData>
  <mergeCells count="2">
    <mergeCell ref="E1:I1"/>
    <mergeCell ref="K1:N1"/>
  </mergeCells>
  <conditionalFormatting sqref="AD3:AD7 AE8 AD10:AD16 AE17 AD19:AD23 AE24 AD26:AD30 AE31 AD33:AD38 AE39 AD41:AD48 AE49 AD51:AD59 AE60 AD62:AD67 AE68 AD70:AD75 AE76 AD78:AD84 AE85 AD87:AD92 AE93 AD95:AD102 AE103 AD105:AD109 AE110 AD112:AD115 AE116 AD118:AD124 AE125 AD127:AD132 AE133 AD135:AD138 AE139 AD141:AD142 AE143 AD145:AD148 AE149">
    <cfRule type="cellIs" dxfId="2" priority="2" operator="lessThan">
      <formula>5</formula>
    </cfRule>
    <cfRule type="cellIs" dxfId="1" priority="3" operator="between">
      <formula>5</formula>
      <formula>8</formula>
    </cfRule>
    <cfRule type="cellIs" dxfId="0" priority="4" operator="between">
      <formula>8</formula>
      <formula>10</formula>
    </cfRule>
  </conditionalFormatting>
  <pageMargins left="0.75" right="0.75" top="1" bottom="1"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F10"/>
  <sheetViews>
    <sheetView showGridLines="0" zoomScaleNormal="100" workbookViewId="0"/>
  </sheetViews>
  <sheetFormatPr baseColWidth="10" defaultColWidth="8.7109375" defaultRowHeight="15" x14ac:dyDescent="0.25"/>
  <cols>
    <col min="1" max="3" width="10" customWidth="1"/>
  </cols>
  <sheetData>
    <row r="1" spans="1:6" x14ac:dyDescent="0.25">
      <c r="A1" s="12" t="s">
        <v>860</v>
      </c>
      <c r="B1" s="12" t="s">
        <v>861</v>
      </c>
      <c r="C1" s="12" t="s">
        <v>811</v>
      </c>
      <c r="D1" s="4"/>
      <c r="E1" s="4"/>
      <c r="F1" s="4" t="s">
        <v>862</v>
      </c>
    </row>
    <row r="2" spans="1:6" x14ac:dyDescent="0.25">
      <c r="A2" s="4">
        <v>0</v>
      </c>
      <c r="B2" s="4">
        <v>0</v>
      </c>
      <c r="C2" s="4">
        <v>0</v>
      </c>
      <c r="D2" s="4"/>
      <c r="E2" s="4"/>
      <c r="F2" s="4"/>
    </row>
    <row r="3" spans="1:6" x14ac:dyDescent="0.25">
      <c r="A3" s="4">
        <v>0</v>
      </c>
      <c r="B3" s="4">
        <v>20</v>
      </c>
      <c r="C3" s="4">
        <v>1</v>
      </c>
      <c r="D3" s="4"/>
      <c r="E3" s="4"/>
      <c r="F3" s="4" t="s">
        <v>863</v>
      </c>
    </row>
    <row r="4" spans="1:6" x14ac:dyDescent="0.25">
      <c r="A4" s="4">
        <v>21</v>
      </c>
      <c r="B4" s="4">
        <v>40</v>
      </c>
      <c r="C4" s="4">
        <v>3</v>
      </c>
      <c r="D4" s="4"/>
      <c r="E4" s="4"/>
      <c r="F4" s="4"/>
    </row>
    <row r="5" spans="1:6" x14ac:dyDescent="0.25">
      <c r="A5" s="4">
        <v>41</v>
      </c>
      <c r="B5" s="4">
        <v>60</v>
      </c>
      <c r="C5" s="4">
        <v>5</v>
      </c>
      <c r="D5" s="4"/>
      <c r="E5" s="4"/>
      <c r="F5" s="4"/>
    </row>
    <row r="6" spans="1:6" x14ac:dyDescent="0.25">
      <c r="A6" s="4">
        <v>61</v>
      </c>
      <c r="B6" s="4">
        <v>80</v>
      </c>
      <c r="C6" s="4">
        <v>7</v>
      </c>
      <c r="D6" s="4"/>
      <c r="E6" s="4"/>
      <c r="F6" s="4"/>
    </row>
    <row r="7" spans="1:6" x14ac:dyDescent="0.25">
      <c r="A7" s="4">
        <v>81</v>
      </c>
      <c r="B7" s="4">
        <v>100</v>
      </c>
      <c r="C7" s="4">
        <v>10</v>
      </c>
      <c r="D7" s="4"/>
      <c r="E7" s="4"/>
      <c r="F7" s="4"/>
    </row>
    <row r="8" spans="1:6" x14ac:dyDescent="0.25">
      <c r="A8" s="4">
        <v>101</v>
      </c>
      <c r="B8" s="4">
        <v>120</v>
      </c>
      <c r="C8" s="4">
        <v>13</v>
      </c>
      <c r="D8" s="4"/>
      <c r="E8" s="4"/>
      <c r="F8" s="4"/>
    </row>
    <row r="9" spans="1:6" x14ac:dyDescent="0.25">
      <c r="A9" s="4">
        <v>121</v>
      </c>
      <c r="B9" s="4">
        <v>140</v>
      </c>
      <c r="C9" s="4">
        <v>16</v>
      </c>
      <c r="D9" s="4"/>
      <c r="E9" s="4"/>
      <c r="F9" s="4"/>
    </row>
    <row r="10" spans="1:6" x14ac:dyDescent="0.25">
      <c r="A10" s="4">
        <v>141</v>
      </c>
      <c r="B10" s="4">
        <v>200</v>
      </c>
      <c r="C10" s="4">
        <v>17</v>
      </c>
      <c r="D10" s="4"/>
      <c r="E10" s="4"/>
      <c r="F10" s="4"/>
    </row>
  </sheetData>
  <pageMargins left="0.75" right="0.75" top="1" bottom="1"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8DE70-9ADA-45F1-8A30-D7C2ACFE5728}">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2</DocSecurity>
  <ScaleCrop>false</ScaleCrop>
  <HeadingPairs>
    <vt:vector size="4" baseType="variant">
      <vt:variant>
        <vt:lpstr>Hojas de cálculo</vt:lpstr>
      </vt:variant>
      <vt:variant>
        <vt:i4>13</vt:i4>
      </vt:variant>
      <vt:variant>
        <vt:lpstr>Rangos con nombre</vt:lpstr>
      </vt:variant>
      <vt:variant>
        <vt:i4>1</vt:i4>
      </vt:variant>
    </vt:vector>
  </HeadingPairs>
  <TitlesOfParts>
    <vt:vector size="14" baseType="lpstr">
      <vt:lpstr>LEEME</vt:lpstr>
      <vt:lpstr>FormularioFODA</vt:lpstr>
      <vt:lpstr>GUIA_ENTREVISTA</vt:lpstr>
      <vt:lpstr>MATRIZ FODA</vt:lpstr>
      <vt:lpstr>PART2 FODA</vt:lpstr>
      <vt:lpstr>PART1 FODA</vt:lpstr>
      <vt:lpstr>ResumenFODA</vt:lpstr>
      <vt:lpstr>VIABILIDAD</vt:lpstr>
      <vt:lpstr>CalculoFoda-1</vt:lpstr>
      <vt:lpstr>VariablesFoda</vt:lpstr>
      <vt:lpstr>CalculosFoda</vt:lpstr>
      <vt:lpstr>Rango</vt:lpstr>
      <vt:lpstr>Hoja1</vt:lpstr>
      <vt:lpstr>FormularioFODA!Títulos_a_imprimir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Hugo Galvan</cp:lastModifiedBy>
  <cp:revision>1</cp:revision>
  <dcterms:created xsi:type="dcterms:W3CDTF">2026-09-25T19:30:29Z</dcterms:created>
  <dcterms:modified xsi:type="dcterms:W3CDTF">2026-10-10T01:01:03Z</dcterms:modified>
  <dc:language>en-US</dc:language>
</cp:coreProperties>
</file>